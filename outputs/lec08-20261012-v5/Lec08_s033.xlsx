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2b4c167afa4d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V_CF" sheetId="1" r:id="R766a0ebccb2d48d4"/>
    <x:sheet xmlns:r="http://schemas.openxmlformats.org/officeDocument/2006/relationships" name="Formula" sheetId="2" r:id="Rbb0b56336fe64827"/>
    <x:sheet xmlns:r="http://schemas.openxmlformats.org/officeDocument/2006/relationships" name="FX" sheetId="3" r:id="R94b6ac1c1b8e4fe2"/>
    <x:sheet xmlns:r="http://schemas.openxmlformats.org/officeDocument/2006/relationships" name="Activity 1" sheetId="4" r:id="Rd4a44651ecbd46c4"/>
    <x:sheet xmlns:r="http://schemas.openxmlformats.org/officeDocument/2006/relationships" name="Activity 2" sheetId="5" r:id="R15d7076e07fb49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"/>
    <x:numFmt numFmtId="201" formatCode="0.00%"/>
    <x:numFmt numFmtId="202" formatCode="0"/>
    <x:numFmt numFmtId="203" formatCode="#,##0.00;(#,##0.00);&quot;-&quot;"/>
    <x:numFmt numFmtId="204" formatCode="0.00"/>
    <x:numFmt numFmtId="205" formatCode="0.0"/>
    <x:numFmt numFmtId="206" formatCode="0.0000%"/>
    <x:numFmt numFmtId="207" formatCode="0.000000"/>
    <x:numFmt numFmtId="208" formatCode="0.0000"/>
    <x:numFmt numFmtId="209" formatCode="@"/>
  </x:numFmts>
  <x:fonts count="10">
    <x:font>
      <x:sz val="11"/>
      <x:name val="Carlito"/>
    </x:font>
    <x:font>
      <x:sz val="10"/>
      <x:color rgb="FF1A1D23"/>
      <x:name val="Arial"/>
    </x:font>
    <x:font>
      <x:b/>
      <x:sz val="16"/>
      <x:color rgb="FF0F2A5C"/>
      <x:name val="Arial"/>
    </x:font>
    <x:font>
      <x:sz val="10"/>
      <x:color rgb="FF1D4ED8"/>
      <x:name val="Arial"/>
    </x:font>
    <x:font>
      <x:sz val="10"/>
      <x:color rgb="FF6B7280"/>
      <x:name val="Arial"/>
    </x:font>
    <x:font>
      <x:i/>
      <x:sz val="10"/>
      <x:color rgb="FF6B7280"/>
      <x:name val="Arial"/>
    </x:font>
    <x:font>
      <x:sz val="10"/>
      <x:color rgb="FF15803D"/>
      <x:name val="Arial"/>
    </x:font>
    <x:font>
      <x:b/>
      <x:sz val="10"/>
      <x:color rgb="FFFFFFFF"/>
      <x:name val="Arial"/>
    </x:font>
    <x:font>
      <x:b/>
      <x:sz val="10"/>
      <x:color rgb="FF1A1D23"/>
      <x:name val="Arial"/>
    </x:font>
    <x:font>
      <x:b/>
      <x:sz val="10"/>
      <x:color rgb="FF1D4ED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F2A5C"/>
      </x:patternFill>
    </x:fill>
    <x:fill>
      <x:patternFill patternType="solid">
        <x:fgColor rgb="FFFFF2CC"/>
      </x:patternFill>
    </x:fill>
    <x:fill>
      <x:patternFill patternType="solid">
        <x:fgColor rgb="FF0F2A5C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8A84B"/>
      </x:bottom>
      <x:diagonal/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1" fillId="0" borderId="0" xfId="0" applyNumberFormat="1" applyFont="1" applyFill="1" applyBorder="1"/>
    <x:xf numFmtId="204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204" fontId="6" fillId="0" borderId="0" xfId="0" applyNumberFormat="1" applyFont="1" applyFill="1" applyBorder="1"/>
    <x:xf numFmtId="0" fontId="1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205" fontId="1" fillId="0" borderId="0" xfId="0" applyNumberFormat="1" applyFont="1" applyFill="1" applyBorder="1"/>
    <x:xf numFmtId="203" fontId="1" fillId="3" borderId="0" xfId="0" applyNumberFormat="1" applyFont="1" applyFill="1" applyBorder="1"/>
    <x:xf numFmtId="203" fontId="3" fillId="3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6" fontId="3" fillId="3" borderId="0" xfId="0" applyNumberFormat="1" applyFont="1" applyFill="1" applyBorder="1"/>
    <x:xf numFmtId="0" fontId="8" fillId="0" borderId="0" xfId="0" applyNumberFormat="1" applyFont="1" applyFill="1" applyBorder="1"/>
    <x:xf numFmtId="203" fontId="9" fillId="3" borderId="0" xfId="0" applyNumberFormat="1" applyFont="1" applyFill="1" applyBorder="1"/>
    <x:xf numFmtId="206" fontId="9" fillId="3" borderId="0" xfId="0" applyNumberFormat="1" applyFont="1" applyFill="1" applyBorder="1"/>
    <x:xf numFmtId="206" fontId="6" fillId="0" borderId="0" xfId="0" applyNumberFormat="1" applyFont="1" applyFill="1" applyBorder="1"/>
    <x:xf numFmtId="205" fontId="6" fillId="0" borderId="0" xfId="0" applyNumberFormat="1" applyFont="1" applyFill="1" applyBorder="1"/>
    <x:xf numFmtId="201" fontId="1" fillId="0" borderId="0" xfId="0" applyNumberFormat="1" applyFont="1" applyFill="1" applyBorder="1"/>
    <x:xf numFmtId="207" fontId="3" fillId="3" borderId="0" xfId="0" applyNumberFormat="1" applyFont="1" applyFill="1" applyBorder="1"/>
    <x:xf numFmtId="208" fontId="3" fillId="3" borderId="0" xfId="0" applyNumberFormat="1" applyFont="1" applyFill="1" applyBorder="1"/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208" fontId="1" fillId="0" borderId="0" xfId="0" applyNumberFormat="1" applyFont="1" applyFill="1" applyBorder="1"/>
    <x:xf numFmtId="208" fontId="6" fillId="0" borderId="0" xfId="0" applyNumberFormat="1" applyFont="1" applyFill="1" applyBorder="1"/>
    <x:xf numFmtId="0" fontId="1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203" fontId="1" fillId="5" borderId="0" xfId="0" applyNumberFormat="1" applyFont="1" applyFill="1" applyBorder="1"/>
    <x:xf numFmtId="203" fontId="3" fillId="5" borderId="0" xfId="0" applyNumberFormat="1" applyFont="1" applyFill="1" applyBorder="1"/>
    <x:xf numFmtId="0" fontId="1" fillId="5" borderId="0" xfId="0" applyNumberFormat="1" applyFont="1" applyFill="1" applyBorder="1"/>
    <x:xf numFmtId="0" fontId="3" fillId="5" borderId="0" xfId="0" applyNumberFormat="1" applyFont="1" applyFill="1" applyBorder="1"/>
    <x:xf numFmtId="206" fontId="3" fillId="5" borderId="0" xfId="0" applyNumberFormat="1" applyFont="1" applyFill="1" applyBorder="1"/>
    <x:xf numFmtId="209" fontId="3" fillId="5" borderId="0" xfId="0" applyNumberFormat="1" applyFont="1" applyFill="1" applyBorder="1"/>
    <x:xf numFmtId="203" fontId="9" fillId="5" borderId="0" xfId="0" applyNumberFormat="1" applyFont="1" applyFill="1" applyBorder="1"/>
    <x:xf numFmtId="206" fontId="9" fillId="5" borderId="0" xfId="0" applyNumberFormat="1" applyFont="1" applyFill="1" applyBorder="1"/>
    <x:xf numFmtId="209" fontId="9" fillId="5" borderId="0" xfId="0" applyNumberFormat="1" applyFont="1" applyFill="1" applyBorder="1"/>
    <x:xf numFmtId="207" fontId="1" fillId="0" borderId="0" xfId="0" applyNumberFormat="1" applyFont="1" applyFill="1" applyBorder="1"/>
    <x:xf numFmtId="207" fontId="3" fillId="5" borderId="0" xfId="0" applyNumberFormat="1" applyFont="1" applyFill="1" applyBorder="1"/>
    <x:xf numFmtId="208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20dec0a63843f4" /><Relationship Type="http://schemas.openxmlformats.org/officeDocument/2006/relationships/theme" Target="/xl/theme/theme1.xml" Id="R9f2ca4508cd74a51" /><Relationship Type="http://schemas.openxmlformats.org/officeDocument/2006/relationships/sharedStrings" Target="/xl/sharedStrings.xml" Id="R6bf809374ee14ef7" /><Relationship Type="http://schemas.openxmlformats.org/officeDocument/2006/relationships/worksheet" Target="/xl/worksheets/sheet1.xml" Id="R766a0ebccb2d48d4" /><Relationship Type="http://schemas.openxmlformats.org/officeDocument/2006/relationships/worksheet" Target="/xl/worksheets/sheet2.xml" Id="Rbb0b56336fe64827" /><Relationship Type="http://schemas.openxmlformats.org/officeDocument/2006/relationships/worksheet" Target="/xl/worksheets/sheet3.xml" Id="R94b6ac1c1b8e4fe2" /><Relationship Type="http://schemas.openxmlformats.org/officeDocument/2006/relationships/worksheet" Target="/xl/worksheets/sheet4.xml" Id="Rd4a44651ecbd46c4" /><Relationship Type="http://schemas.openxmlformats.org/officeDocument/2006/relationships/worksheet" Target="/xl/worksheets/sheet5.xml" Id="R15d7076e07fb49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Price from cash flows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5" t="n">
        <x:v>950000000</x:v>
      </x:c>
      <x:c r="E4" s="1"/>
      <x:c r="F4" s="1" t="str">
        <x:v>Spot USDCLP_0</x:v>
      </x:c>
      <x:c r="G4" s="1"/>
      <x:c r="H4" s="9" t="n">
        <x:v>950</x:v>
      </x:c>
      <x:c r="I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8" t="n">
        <x:f>D4*D5/D7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Coupon (CLP)</x:v>
      </x:c>
      <x:c r="F13" s="21" t="str">
        <x:v>Principal (CLP)</x:v>
      </x:c>
      <x:c r="G13" s="21" t="str">
        <x:v>Total CF (CLP)</x:v>
      </x:c>
      <x:c r="H13" s="21" t="str">
        <x:v>PV (CLP)</x:v>
      </x:c>
      <x:c r="I13" s="1"/>
    </x:row>
    <x:row r="14" ht="23" customHeight="1">
      <x:c r="A14" s="1"/>
      <x:c r="B14" s="1" t="n">
        <x:v>1</x:v>
      </x:c>
      <x:c r="C14" s="22" t="n">
        <x:v>0.5</x:v>
      </x:c>
      <x:c r="D14" s="6" t="n">
        <x:v>0.055</x:v>
      </x:c>
      <x:c r="E14" s="8" t="n">
        <x:f>$D$8</x:f>
        <x:v>23750000</x:v>
      </x:c>
      <x:c r="F14" s="8" t="n">
        <x:f>IF(B14=$D$6*$D$7,$D$4,0)</x:f>
        <x:v>0</x:v>
      </x:c>
      <x:c r="G14" s="8" t="n">
        <x:f>SUM(E14:F14)</x:f>
        <x:v>23750000</x:v>
      </x:c>
      <x:c r="H14" s="24"/>
      <x:c r="I14" s="1"/>
    </x:row>
    <x:row r="15" ht="23" customHeight="1">
      <x:c r="A15" s="1"/>
      <x:c r="B15" s="1" t="n">
        <x:v>2</x:v>
      </x:c>
      <x:c r="C15" s="22" t="n">
        <x:v>1</x:v>
      </x:c>
      <x:c r="D15" s="6" t="n">
        <x:v>0.0555</x:v>
      </x:c>
      <x:c r="E15" s="8" t="n">
        <x:f>$D$8</x:f>
        <x:v>23750000</x:v>
      </x:c>
      <x:c r="F15" s="8" t="n">
        <x:f>IF(B15=$D$6*$D$7,$D$4,0)</x:f>
        <x:v>0</x:v>
      </x:c>
      <x:c r="G15" s="8" t="n">
        <x:f>SUM(E15:F15)</x:f>
        <x:v>23750000</x:v>
      </x:c>
      <x:c r="H15" s="24"/>
      <x:c r="I15" s="1"/>
    </x:row>
    <x:row r="16" ht="23" customHeight="1">
      <x:c r="A16" s="1"/>
      <x:c r="B16" s="1" t="n">
        <x:v>3</x:v>
      </x:c>
      <x:c r="C16" s="22" t="n">
        <x:v>1.5</x:v>
      </x:c>
      <x:c r="D16" s="6" t="n">
        <x:v>0.055999999999999994</x:v>
      </x:c>
      <x:c r="E16" s="8" t="n">
        <x:f>$D$8</x:f>
        <x:v>23750000</x:v>
      </x:c>
      <x:c r="F16" s="8" t="n">
        <x:f>IF(B16=$D$6*$D$7,$D$4,0)</x:f>
        <x:v>0</x:v>
      </x:c>
      <x:c r="G16" s="8" t="n">
        <x:f>SUM(E16:F16)</x:f>
        <x:v>23750000</x:v>
      </x:c>
      <x:c r="H16" s="24"/>
      <x:c r="I16" s="1"/>
    </x:row>
    <x:row r="17" ht="23" customHeight="1">
      <x:c r="A17" s="1"/>
      <x:c r="B17" s="1" t="n">
        <x:v>4</x:v>
      </x:c>
      <x:c r="C17" s="22" t="n">
        <x:v>2</x:v>
      </x:c>
      <x:c r="D17" s="6" t="n">
        <x:v>0.0565</x:v>
      </x:c>
      <x:c r="E17" s="8" t="n">
        <x:f>$D$8</x:f>
        <x:v>23750000</x:v>
      </x:c>
      <x:c r="F17" s="8" t="n">
        <x:f>IF(B17=$D$6*$D$7,$D$4,0)</x:f>
        <x:v>0</x:v>
      </x:c>
      <x:c r="G17" s="8" t="n">
        <x:f>SUM(E17:F17)</x:f>
        <x:v>23750000</x:v>
      </x:c>
      <x:c r="H17" s="24"/>
      <x:c r="I17" s="1"/>
    </x:row>
    <x:row r="18" ht="23" customHeight="1">
      <x:c r="A18" s="1"/>
      <x:c r="B18" s="1" t="n">
        <x:v>5</x:v>
      </x:c>
      <x:c r="C18" s="22" t="n">
        <x:v>2.5</x:v>
      </x:c>
      <x:c r="D18" s="6" t="n">
        <x:v>0.057</x:v>
      </x:c>
      <x:c r="E18" s="8" t="n">
        <x:f>$D$8</x:f>
        <x:v>23750000</x:v>
      </x:c>
      <x:c r="F18" s="8" t="n">
        <x:f>IF(B18=$D$6*$D$7,$D$4,0)</x:f>
        <x:v>0</x:v>
      </x:c>
      <x:c r="G18" s="8" t="n">
        <x:f>SUM(E18:F18)</x:f>
        <x:v>23750000</x:v>
      </x:c>
      <x:c r="H18" s="24"/>
      <x:c r="I18" s="1"/>
    </x:row>
    <x:row r="19" ht="23" customHeight="1">
      <x:c r="A19" s="1"/>
      <x:c r="B19" s="1" t="n">
        <x:v>6</x:v>
      </x:c>
      <x:c r="C19" s="22" t="n">
        <x:v>3</x:v>
      </x:c>
      <x:c r="D19" s="6" t="n">
        <x:v>0.0575</x:v>
      </x:c>
      <x:c r="E19" s="8" t="n">
        <x:f>$D$8</x:f>
        <x:v>23750000</x:v>
      </x:c>
      <x:c r="F19" s="8" t="n">
        <x:f>IF(B19=$D$6*$D$7,$D$4,0)</x:f>
        <x:v>0</x:v>
      </x:c>
      <x:c r="G19" s="8" t="n">
        <x:f>SUM(E19:F19)</x:f>
        <x:v>23750000</x:v>
      </x:c>
      <x:c r="H19" s="24"/>
      <x:c r="I19" s="1"/>
    </x:row>
    <x:row r="20" ht="23" customHeight="1">
      <x:c r="A20" s="1"/>
      <x:c r="B20" s="1" t="n">
        <x:v>7</x:v>
      </x:c>
      <x:c r="C20" s="22" t="n">
        <x:v>3.5</x:v>
      </x:c>
      <x:c r="D20" s="6" t="n">
        <x:v>0.057999999999999996</x:v>
      </x:c>
      <x:c r="E20" s="8" t="n">
        <x:f>$D$8</x:f>
        <x:v>23750000</x:v>
      </x:c>
      <x:c r="F20" s="8" t="n">
        <x:f>IF(B20=$D$6*$D$7,$D$4,0)</x:f>
        <x:v>0</x:v>
      </x:c>
      <x:c r="G20" s="8" t="n">
        <x:f>SUM(E20:F20)</x:f>
        <x:v>23750000</x:v>
      </x:c>
      <x:c r="H20" s="24"/>
      <x:c r="I20" s="1"/>
    </x:row>
    <x:row r="21" ht="23" customHeight="1">
      <x:c r="A21" s="1"/>
      <x:c r="B21" s="1" t="n">
        <x:v>8</x:v>
      </x:c>
      <x:c r="C21" s="22" t="n">
        <x:v>4</x:v>
      </x:c>
      <x:c r="D21" s="6" t="n">
        <x:v>0.058499999999999996</x:v>
      </x:c>
      <x:c r="E21" s="8" t="n">
        <x:f>$D$8</x:f>
        <x:v>23750000</x:v>
      </x:c>
      <x:c r="F21" s="8" t="n">
        <x:f>IF(B21=$D$6*$D$7,$D$4,0)</x:f>
        <x:v>0</x:v>
      </x:c>
      <x:c r="G21" s="8" t="n">
        <x:f>SUM(E21:F21)</x:f>
        <x:v>23750000</x:v>
      </x:c>
      <x:c r="H21" s="24"/>
      <x:c r="I21" s="1"/>
    </x:row>
    <x:row r="22" ht="23" customHeight="1">
      <x:c r="A22" s="1"/>
      <x:c r="B22" s="1" t="n">
        <x:v>9</x:v>
      </x:c>
      <x:c r="C22" s="22" t="n">
        <x:v>4.5</x:v>
      </x:c>
      <x:c r="D22" s="6" t="n">
        <x:v>0.059000000000000004</x:v>
      </x:c>
      <x:c r="E22" s="8" t="n">
        <x:f>$D$8</x:f>
        <x:v>23750000</x:v>
      </x:c>
      <x:c r="F22" s="8" t="n">
        <x:f>IF(B22=$D$6*$D$7,$D$4,0)</x:f>
        <x:v>0</x:v>
      </x:c>
      <x:c r="G22" s="8" t="n">
        <x:f>SUM(E22:F22)</x:f>
        <x:v>23750000</x:v>
      </x:c>
      <x:c r="H22" s="24"/>
      <x:c r="I22" s="1"/>
    </x:row>
    <x:row r="23" ht="23" customHeight="1">
      <x:c r="A23" s="1"/>
      <x:c r="B23" s="1" t="n">
        <x:v>10</x:v>
      </x:c>
      <x:c r="C23" s="22" t="n">
        <x:v>5</x:v>
      </x:c>
      <x:c r="D23" s="6" t="n">
        <x:v>0.059500000000000004</x:v>
      </x:c>
      <x:c r="E23" s="8" t="n">
        <x:f>$D$8</x:f>
        <x:v>23750000</x:v>
      </x:c>
      <x:c r="F23" s="8" t="n">
        <x:f>IF(B23=$D$6*$D$7,$D$4,0)</x:f>
        <x:v>950000000</x:v>
      </x:c>
      <x:c r="G23" s="8" t="n">
        <x:f>SUM(E23:F23)</x:f>
        <x:v>973750000</x:v>
      </x:c>
      <x:c r="H23" s="24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28" t="str">
        <x:v>Bond issue price (CLP)</x:v>
      </x:c>
      <x:c r="C26" s="28"/>
      <x:c r="D26" s="28"/>
      <x:c r="E26" s="28"/>
      <x:c r="F26" s="28"/>
      <x:c r="G26" s="28"/>
      <x:c r="H26" s="29"/>
      <x:c r="I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30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Compute each PV at its matching Chile zero rate, then sum all ten PVs.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Find annual YTM using RATE with 10 periods, the half-year coupon, price and face value.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Coupon annuity and principal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 t="str">
        <x:v>Annual YTM from PV_CF</x:v>
      </x:c>
      <x:c r="C9" s="1"/>
      <x:c r="D9" s="31" t="str">
        <x:f>IF(ISNUMBER('PV_CF'!H27),'PV_CF'!H27,"")</x:f>
      </x:c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 t="str">
        <x:v>Use the YTM calculated in PV_CF. Do not substitute the 5-year zero rate.</x:v>
      </x:c>
      <x:c r="C12" s="1"/>
      <x:c r="D12" s="1"/>
      <x:c r="E12" s="1"/>
      <x:c r="F12" s="1"/>
      <x:c r="G12" s="1"/>
      <x:c r="H12" s="1"/>
      <x:c r="I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</x:row>
    <x:row r="14" ht="30" customHeight="1">
      <x:c r="A14" s="1"/>
      <x:c r="B14" s="21" t="str">
        <x:v>Component</x:v>
      </x:c>
      <x:c r="C14" s="21" t="str"/>
      <x:c r="D14" s="21" t="str"/>
      <x:c r="E14" s="21" t="str"/>
      <x:c r="F14" s="21" t="str"/>
      <x:c r="G14" s="21" t="str"/>
      <x:c r="H14" s="21" t="str">
        <x:v>PV (CLP)</x:v>
      </x:c>
      <x:c r="I14" s="1"/>
    </x:row>
    <x:row r="15" ht="23" customHeight="1">
      <x:c r="A15" s="1"/>
      <x:c r="B15" s="1" t="str">
        <x:v>Coupon annuity</x:v>
      </x:c>
      <x:c r="C15" s="1"/>
      <x:c r="D15" s="1"/>
      <x:c r="E15" s="1"/>
      <x:c r="F15" s="1"/>
      <x:c r="G15" s="1"/>
      <x:c r="H15" s="24"/>
      <x:c r="I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</x:row>
    <x:row r="17" ht="23" customHeight="1">
      <x:c r="A17" s="1"/>
      <x:c r="B17" s="1" t="str">
        <x:v>Face value</x:v>
      </x:c>
      <x:c r="C17" s="1"/>
      <x:c r="D17" s="1"/>
      <x:c r="E17" s="1"/>
      <x:c r="F17" s="1"/>
      <x:c r="G17" s="1"/>
      <x:c r="H17" s="24"/>
      <x:c r="I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</x:row>
    <x:row r="19" ht="23" customHeight="1">
      <x:c r="A19" s="1"/>
      <x:c r="B19" s="28" t="str">
        <x:v>Bond = both PVs</x:v>
      </x:c>
      <x:c r="C19" s="28"/>
      <x:c r="D19" s="28"/>
      <x:c r="E19" s="28"/>
      <x:c r="F19" s="28"/>
      <x:c r="G19" s="28"/>
      <x:c r="H19" s="29"/>
      <x:c r="I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</x:row>
    <x:row r="22" ht="23" customHeight="1">
      <x:c r="A22" s="1"/>
      <x:c r="B22" s="1" t="str">
        <x:v>Coupon PV: C * [1 - (1 + y/2)^(-10)] / (y/2).</x:v>
      </x:c>
      <x:c r="C22" s="1"/>
      <x:c r="D22" s="1"/>
      <x:c r="E22" s="1"/>
      <x:c r="F22" s="1"/>
      <x:c r="G22" s="1"/>
      <x:c r="H22" s="1"/>
      <x:c r="I22" s="1"/>
    </x:row>
    <x:row r="23" ht="23" customHeight="1">
      <x:c r="A23" s="1"/>
      <x:c r="B23" s="1" t="str">
        <x:v>Face-value PV: FV * (1 + y/2)^(-10).</x:v>
      </x:c>
      <x:c r="C23" s="1"/>
      <x:c r="D23" s="1"/>
      <x:c r="E23" s="1"/>
      <x:c r="F23" s="1"/>
      <x:c r="G23" s="1"/>
      <x:c r="H23" s="1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 t="str">
        <x:v>Compare with PV_CF</x:v>
      </x:c>
      <x:c r="C25" s="1"/>
      <x:c r="D25" s="1"/>
      <x:c r="E25" s="1"/>
      <x:c r="F25" s="1"/>
      <x:c r="G25" s="1"/>
      <x:c r="H25" s="16" t="str">
        <x:f>IF(ISNUMBER('PV_CF'!H26),'PV_CF'!H26,"")</x:f>
      </x:c>
      <x:c r="I25" s="1"/>
    </x:row>
    <x:row r="26" ht="23" customHeight="1">
      <x:c r="A26" s="1"/>
      <x:c r="B26" s="1" t="str">
        <x:v>Difference (Formula - PV_CF)</x:v>
      </x:c>
      <x:c r="C26" s="1"/>
      <x:c r="D26" s="1"/>
      <x:c r="E26" s="1"/>
      <x:c r="F26" s="1"/>
      <x:c r="G26" s="1"/>
      <x:c r="H26" s="8" t="str">
        <x:f>IF(AND(ISNUMBER(H19),ISNUMBER(H25)),H19-H25,"")</x:f>
      </x:c>
      <x:c r="I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8A84B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Forward FX by maturity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U.S. zero rate</x:v>
      </x:c>
      <x:c r="F13" s="21" t="str">
        <x:v>Chile factor</x:v>
      </x:c>
      <x:c r="G13" s="21" t="str">
        <x:v>U.S. factor</x:v>
      </x:c>
      <x:c r="H13" s="21" t="str">
        <x:v>USDCLP fwd (0,t)</x:v>
      </x:c>
      <x:c r="I13" s="1"/>
    </x:row>
    <x:row r="14" ht="23" customHeight="1">
      <x:c r="A14" s="1"/>
      <x:c r="B14" s="12" t="n">
        <x:f>'PV_CF'!B14</x:f>
        <x:v>1</x:v>
      </x:c>
      <x:c r="C14" s="32" t="n">
        <x:f>'PV_CF'!C14</x:f>
        <x:v>0.5</x:v>
      </x:c>
      <x:c r="D14" s="14" t="n">
        <x:f>'PV_CF'!D14</x:f>
        <x:v>0.055</x:v>
      </x:c>
      <x:c r="E14" s="6" t="n">
        <x:v>0.040999999999999995</x:v>
      </x:c>
      <x:c r="F14" s="34"/>
      <x:c r="G14" s="34"/>
      <x:c r="H14" s="35"/>
      <x:c r="I14" s="1"/>
    </x:row>
    <x:row r="15" ht="23" customHeight="1">
      <x:c r="A15" s="1"/>
      <x:c r="B15" s="12" t="n">
        <x:f>'PV_CF'!B15</x:f>
        <x:v>2</x:v>
      </x:c>
      <x:c r="C15" s="32" t="n">
        <x:f>'PV_CF'!C15</x:f>
        <x:v>1</x:v>
      </x:c>
      <x:c r="D15" s="14" t="n">
        <x:f>'PV_CF'!D15</x:f>
        <x:v>0.0555</x:v>
      </x:c>
      <x:c r="E15" s="6" t="n">
        <x:v>0.0395</x:v>
      </x:c>
      <x:c r="F15" s="34"/>
      <x:c r="G15" s="34"/>
      <x:c r="H15" s="35"/>
      <x:c r="I15" s="1"/>
    </x:row>
    <x:row r="16" ht="23" customHeight="1">
      <x:c r="A16" s="1"/>
      <x:c r="B16" s="12" t="n">
        <x:f>'PV_CF'!B16</x:f>
        <x:v>3</x:v>
      </x:c>
      <x:c r="C16" s="32" t="n">
        <x:f>'PV_CF'!C16</x:f>
        <x:v>1.5</x:v>
      </x:c>
      <x:c r="D16" s="14" t="n">
        <x:f>'PV_CF'!D16</x:f>
        <x:v>0.055999999999999994</x:v>
      </x:c>
      <x:c r="E16" s="6" t="n">
        <x:v>0.0385</x:v>
      </x:c>
      <x:c r="F16" s="34"/>
      <x:c r="G16" s="34"/>
      <x:c r="H16" s="35"/>
      <x:c r="I16" s="1"/>
    </x:row>
    <x:row r="17" ht="23" customHeight="1">
      <x:c r="A17" s="1"/>
      <x:c r="B17" s="12" t="n">
        <x:f>'PV_CF'!B17</x:f>
        <x:v>4</x:v>
      </x:c>
      <x:c r="C17" s="32" t="n">
        <x:f>'PV_CF'!C17</x:f>
        <x:v>2</x:v>
      </x:c>
      <x:c r="D17" s="14" t="n">
        <x:f>'PV_CF'!D17</x:f>
        <x:v>0.0565</x:v>
      </x:c>
      <x:c r="E17" s="6" t="n">
        <x:v>0.038</x:v>
      </x:c>
      <x:c r="F17" s="34"/>
      <x:c r="G17" s="34"/>
      <x:c r="H17" s="35"/>
      <x:c r="I17" s="1"/>
    </x:row>
    <x:row r="18" ht="23" customHeight="1">
      <x:c r="A18" s="1"/>
      <x:c r="B18" s="12" t="n">
        <x:f>'PV_CF'!B18</x:f>
        <x:v>5</x:v>
      </x:c>
      <x:c r="C18" s="32" t="n">
        <x:f>'PV_CF'!C18</x:f>
        <x:v>2.5</x:v>
      </x:c>
      <x:c r="D18" s="14" t="n">
        <x:f>'PV_CF'!D18</x:f>
        <x:v>0.057</x:v>
      </x:c>
      <x:c r="E18" s="6" t="n">
        <x:v>0.0378</x:v>
      </x:c>
      <x:c r="F18" s="34"/>
      <x:c r="G18" s="34"/>
      <x:c r="H18" s="35"/>
      <x:c r="I18" s="1"/>
    </x:row>
    <x:row r="19" ht="23" customHeight="1">
      <x:c r="A19" s="1"/>
      <x:c r="B19" s="12" t="n">
        <x:f>'PV_CF'!B19</x:f>
        <x:v>6</x:v>
      </x:c>
      <x:c r="C19" s="32" t="n">
        <x:f>'PV_CF'!C19</x:f>
        <x:v>3</x:v>
      </x:c>
      <x:c r="D19" s="14" t="n">
        <x:f>'PV_CF'!D19</x:f>
        <x:v>0.0575</x:v>
      </x:c>
      <x:c r="E19" s="6" t="n">
        <x:v>0.0375</x:v>
      </x:c>
      <x:c r="F19" s="34"/>
      <x:c r="G19" s="34"/>
      <x:c r="H19" s="35"/>
      <x:c r="I19" s="1"/>
    </x:row>
    <x:row r="20" ht="23" customHeight="1">
      <x:c r="A20" s="1"/>
      <x:c r="B20" s="12" t="n">
        <x:f>'PV_CF'!B20</x:f>
        <x:v>7</x:v>
      </x:c>
      <x:c r="C20" s="32" t="n">
        <x:f>'PV_CF'!C20</x:f>
        <x:v>3.5</x:v>
      </x:c>
      <x:c r="D20" s="14" t="n">
        <x:f>'PV_CF'!D20</x:f>
        <x:v>0.057999999999999996</x:v>
      </x:c>
      <x:c r="E20" s="6" t="n">
        <x:v>0.037200000000000004</x:v>
      </x:c>
      <x:c r="F20" s="34"/>
      <x:c r="G20" s="34"/>
      <x:c r="H20" s="35"/>
      <x:c r="I20" s="1"/>
    </x:row>
    <x:row r="21" ht="23" customHeight="1">
      <x:c r="A21" s="1"/>
      <x:c r="B21" s="12" t="n">
        <x:f>'PV_CF'!B21</x:f>
        <x:v>8</x:v>
      </x:c>
      <x:c r="C21" s="32" t="n">
        <x:f>'PV_CF'!C21</x:f>
        <x:v>4</x:v>
      </x:c>
      <x:c r="D21" s="14" t="n">
        <x:f>'PV_CF'!D21</x:f>
        <x:v>0.058499999999999996</x:v>
      </x:c>
      <x:c r="E21" s="6" t="n">
        <x:v>0.037000000000000005</x:v>
      </x:c>
      <x:c r="F21" s="34"/>
      <x:c r="G21" s="34"/>
      <x:c r="H21" s="35"/>
      <x:c r="I21" s="1"/>
    </x:row>
    <x:row r="22" ht="23" customHeight="1">
      <x:c r="A22" s="1"/>
      <x:c r="B22" s="12" t="n">
        <x:f>'PV_CF'!B22</x:f>
        <x:v>9</x:v>
      </x:c>
      <x:c r="C22" s="32" t="n">
        <x:f>'PV_CF'!C22</x:f>
        <x:v>4.5</x:v>
      </x:c>
      <x:c r="D22" s="14" t="n">
        <x:f>'PV_CF'!D22</x:f>
        <x:v>0.059000000000000004</x:v>
      </x:c>
      <x:c r="E22" s="6" t="n">
        <x:v>0.0368</x:v>
      </x:c>
      <x:c r="F22" s="34"/>
      <x:c r="G22" s="34"/>
      <x:c r="H22" s="35"/>
      <x:c r="I22" s="1"/>
    </x:row>
    <x:row r="23" ht="23" customHeight="1">
      <x:c r="A23" s="1"/>
      <x:c r="B23" s="12" t="n">
        <x:f>'PV_CF'!B23</x:f>
        <x:v>10</x:v>
      </x:c>
      <x:c r="C23" s="32" t="n">
        <x:f>'PV_CF'!C23</x:f>
        <x:v>5</x:v>
      </x:c>
      <x:c r="D23" s="14" t="n">
        <x:f>'PV_CF'!D23</x:f>
        <x:v>0.059500000000000004</x:v>
      </x:c>
      <x:c r="E23" s="6" t="n">
        <x:v>0.0365</x:v>
      </x:c>
      <x:c r="F23" s="34"/>
      <x:c r="G23" s="34"/>
      <x:c r="H23" s="35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1" t="str">
        <x:v>Compute each accumulation factor: (1 + annual zero rate / 2)^k.</x:v>
      </x:c>
      <x:c r="C26" s="1"/>
      <x:c r="D26" s="1"/>
      <x:c r="E26" s="1"/>
      <x:c r="F26" s="1"/>
      <x:c r="G26" s="1"/>
      <x:c r="H26" s="1"/>
      <x:c r="I26" s="1"/>
    </x:row>
    <x:row r="27" ht="23" customHeight="1">
      <x:c r="A27" s="1"/>
      <x:c r="B27" s="1" t="str">
        <x:v>USDCLP fwd (0,t) = USDCLP_0 * Chile factor / U.S. factor; t = k/2.</x:v>
      </x:c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0 is the contracting date; t is the payment date. Quote: CLP per 1 USD.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Use your assigned maturity for your forward contribution in the lecture.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1: local bond valuation</x:v>
      </x:c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</x:row>
    <x:row r="4" ht="23" customHeight="1">
      <x:c r="A4" s="1"/>
      <x:c r="B4" s="1" t="str">
        <x:v>Face value (KRW)</x:v>
      </x:c>
      <x:c r="C4" s="1"/>
      <x:c r="D4" s="5" t="n">
        <x:v>30000000</x:v>
      </x:c>
      <x:c r="E4" s="1"/>
      <x:c r="F4" s="1" t="str">
        <x:v>Spot USDKRW_0</x:v>
      </x:c>
      <x:c r="G4" s="1"/>
      <x:c r="H4" s="56" t="n">
        <x:v>1000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Scenario spot (all t)</x:v>
      </x:c>
      <x:c r="G5" s="1"/>
      <x:c r="H5" s="56" t="n">
        <x:v>800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4" t="str">
        <x:v>KRW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/>
      <x:c r="G7" s="1"/>
      <x:c r="H7" s="4" t="str">
        <x:v>South Korean Won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8" t="n">
        <x:f>D4*D5/D7</x:f>
        <x:v>750000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 ht="23" customHeight="1">
      <x:c r="A10" s="1"/>
      <x:c r="B10" s="28" t="str">
        <x:v>Pasquini, Sasha — KRW-33</x:v>
      </x:c>
      <x:c r="C10" s="28"/>
      <x:c r="D10" s="28"/>
      <x:c r="E10" s="28"/>
      <x:c r="F10" s="28"/>
      <x:c r="G10" s="28"/>
      <x:c r="H10" s="28"/>
      <x:c r="I10" s="1"/>
      <x:c r="J10" s="1"/>
      <x:c r="K10" s="1"/>
      <x:c r="L10" s="1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"/>
      <x:c r="J11" s="1"/>
      <x:c r="K11" s="1"/>
      <x:c r="L11" s="1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Coupon (local)</x:v>
      </x:c>
      <x:c r="F13" s="44" t="str">
        <x:v>Principal (local)</x:v>
      </x:c>
      <x:c r="G13" s="44" t="str">
        <x:v>CF (local)</x:v>
      </x:c>
      <x:c r="H13" s="44" t="str">
        <x:v>PV (local)</x:v>
      </x:c>
      <x:c r="I13" s="1"/>
      <x:c r="J13" s="1"/>
      <x:c r="K13" s="1"/>
      <x:c r="L13" s="1"/>
      <x:c r="M13" s="1"/>
    </x:row>
    <x:row r="14" ht="23" customHeight="1">
      <x:c r="A14" s="1"/>
      <x:c r="B14" s="1" t="n">
        <x:v>1</x:v>
      </x:c>
      <x:c r="C14" s="22" t="n">
        <x:f>B14/$D$7</x:f>
        <x:v>0.5</x:v>
      </x:c>
      <x:c r="D14" s="6" t="n">
        <x:v>0.06</x:v>
      </x:c>
      <x:c r="E14" s="8" t="n">
        <x:f>$D$8</x:f>
        <x:v>750000</x:v>
      </x:c>
      <x:c r="F14" s="8" t="n">
        <x:f>IF(B14=$D$6*$D$7,$D$4,0)</x:f>
        <x:v>0</x:v>
      </x:c>
      <x:c r="G14" s="8" t="n">
        <x:f>SUM(E14:F14)</x:f>
        <x:v>750000</x:v>
      </x:c>
      <x:c r="H14" s="46"/>
      <x:c r="I14" s="1"/>
      <x:c r="J14" s="1"/>
      <x:c r="K14" s="1"/>
      <x:c r="L14" s="1"/>
      <x:c r="M14" s="1"/>
    </x:row>
    <x:row r="15" ht="23" customHeight="1">
      <x:c r="A15" s="1"/>
      <x:c r="B15" s="1" t="n">
        <x:v>2</x:v>
      </x:c>
      <x:c r="C15" s="22" t="n">
        <x:f>B15/$D$7</x:f>
        <x:v>1</x:v>
      </x:c>
      <x:c r="D15" s="6" t="n">
        <x:v>0.06</x:v>
      </x:c>
      <x:c r="E15" s="8" t="n">
        <x:f>$D$8</x:f>
        <x:v>750000</x:v>
      </x:c>
      <x:c r="F15" s="8" t="n">
        <x:f>IF(B15=$D$6*$D$7,$D$4,0)</x:f>
        <x:v>0</x:v>
      </x:c>
      <x:c r="G15" s="8" t="n">
        <x:f>SUM(E15:F15)</x:f>
        <x:v>750000</x:v>
      </x:c>
      <x:c r="H15" s="46"/>
      <x:c r="I15" s="1"/>
      <x:c r="J15" s="1"/>
      <x:c r="K15" s="1"/>
      <x:c r="L15" s="1"/>
      <x:c r="M15" s="1"/>
    </x:row>
    <x:row r="16" ht="23" customHeight="1">
      <x:c r="A16" s="1"/>
      <x:c r="B16" s="1" t="n">
        <x:v>3</x:v>
      </x:c>
      <x:c r="C16" s="22" t="n">
        <x:f>B16/$D$7</x:f>
        <x:v>1.5</x:v>
      </x:c>
      <x:c r="D16" s="6" t="n">
        <x:v>0.06</x:v>
      </x:c>
      <x:c r="E16" s="8" t="n">
        <x:f>$D$8</x:f>
        <x:v>750000</x:v>
      </x:c>
      <x:c r="F16" s="8" t="n">
        <x:f>IF(B16=$D$6*$D$7,$D$4,0)</x:f>
        <x:v>0</x:v>
      </x:c>
      <x:c r="G16" s="8" t="n">
        <x:f>SUM(E16:F16)</x:f>
        <x:v>750000</x:v>
      </x:c>
      <x:c r="H16" s="46"/>
      <x:c r="I16" s="1"/>
      <x:c r="J16" s="1"/>
      <x:c r="K16" s="1"/>
      <x:c r="L16" s="1"/>
      <x:c r="M16" s="1"/>
    </x:row>
    <x:row r="17" ht="23" customHeight="1">
      <x:c r="A17" s="1"/>
      <x:c r="B17" s="1" t="n">
        <x:v>4</x:v>
      </x:c>
      <x:c r="C17" s="22" t="n">
        <x:f>B17/$D$7</x:f>
        <x:v>2</x:v>
      </x:c>
      <x:c r="D17" s="6" t="n">
        <x:v>0.06</x:v>
      </x:c>
      <x:c r="E17" s="8" t="n">
        <x:f>$D$8</x:f>
        <x:v>750000</x:v>
      </x:c>
      <x:c r="F17" s="8" t="n">
        <x:f>IF(B17=$D$6*$D$7,$D$4,0)</x:f>
        <x:v>0</x:v>
      </x:c>
      <x:c r="G17" s="8" t="n">
        <x:f>SUM(E17:F17)</x:f>
        <x:v>750000</x:v>
      </x:c>
      <x:c r="H17" s="46"/>
      <x:c r="I17" s="1"/>
      <x:c r="J17" s="1"/>
      <x:c r="K17" s="1"/>
      <x:c r="L17" s="1"/>
      <x:c r="M17" s="1"/>
    </x:row>
    <x:row r="18" ht="23" customHeight="1">
      <x:c r="A18" s="1"/>
      <x:c r="B18" s="1" t="n">
        <x:v>5</x:v>
      </x:c>
      <x:c r="C18" s="22" t="n">
        <x:f>B18/$D$7</x:f>
        <x:v>2.5</x:v>
      </x:c>
      <x:c r="D18" s="6" t="n">
        <x:v>0.06</x:v>
      </x:c>
      <x:c r="E18" s="8" t="n">
        <x:f>$D$8</x:f>
        <x:v>750000</x:v>
      </x:c>
      <x:c r="F18" s="8" t="n">
        <x:f>IF(B18=$D$6*$D$7,$D$4,0)</x:f>
        <x:v>0</x:v>
      </x:c>
      <x:c r="G18" s="8" t="n">
        <x:f>SUM(E18:F18)</x:f>
        <x:v>750000</x:v>
      </x:c>
      <x:c r="H18" s="46"/>
      <x:c r="I18" s="1"/>
      <x:c r="J18" s="1"/>
      <x:c r="K18" s="1"/>
      <x:c r="L18" s="1"/>
      <x:c r="M18" s="1"/>
    </x:row>
    <x:row r="19" ht="23" customHeight="1">
      <x:c r="A19" s="1"/>
      <x:c r="B19" s="1" t="n">
        <x:v>6</x:v>
      </x:c>
      <x:c r="C19" s="22" t="n">
        <x:f>B19/$D$7</x:f>
        <x:v>3</x:v>
      </x:c>
      <x:c r="D19" s="6" t="n">
        <x:v>0.06</x:v>
      </x:c>
      <x:c r="E19" s="8" t="n">
        <x:f>$D$8</x:f>
        <x:v>750000</x:v>
      </x:c>
      <x:c r="F19" s="8" t="n">
        <x:f>IF(B19=$D$6*$D$7,$D$4,0)</x:f>
        <x:v>0</x:v>
      </x:c>
      <x:c r="G19" s="8" t="n">
        <x:f>SUM(E19:F19)</x:f>
        <x:v>750000</x:v>
      </x:c>
      <x:c r="H19" s="46"/>
      <x:c r="I19" s="1"/>
      <x:c r="J19" s="1"/>
      <x:c r="K19" s="1"/>
      <x:c r="L19" s="1"/>
      <x:c r="M19" s="1"/>
    </x:row>
    <x:row r="20" ht="23" customHeight="1">
      <x:c r="A20" s="1"/>
      <x:c r="B20" s="1" t="n">
        <x:v>7</x:v>
      </x:c>
      <x:c r="C20" s="22" t="n">
        <x:f>B20/$D$7</x:f>
        <x:v>3.5</x:v>
      </x:c>
      <x:c r="D20" s="6" t="n">
        <x:v>0.06</x:v>
      </x:c>
      <x:c r="E20" s="8" t="n">
        <x:f>$D$8</x:f>
        <x:v>750000</x:v>
      </x:c>
      <x:c r="F20" s="8" t="n">
        <x:f>IF(B20=$D$6*$D$7,$D$4,0)</x:f>
        <x:v>0</x:v>
      </x:c>
      <x:c r="G20" s="8" t="n">
        <x:f>SUM(E20:F20)</x:f>
        <x:v>750000</x:v>
      </x:c>
      <x:c r="H20" s="46"/>
      <x:c r="I20" s="1"/>
      <x:c r="J20" s="1"/>
      <x:c r="K20" s="1"/>
      <x:c r="L20" s="1"/>
      <x:c r="M20" s="1"/>
    </x:row>
    <x:row r="21" ht="23" customHeight="1">
      <x:c r="A21" s="1"/>
      <x:c r="B21" s="1" t="n">
        <x:v>8</x:v>
      </x:c>
      <x:c r="C21" s="22" t="n">
        <x:f>B21/$D$7</x:f>
        <x:v>4</x:v>
      </x:c>
      <x:c r="D21" s="6" t="n">
        <x:v>0.06</x:v>
      </x:c>
      <x:c r="E21" s="8" t="n">
        <x:f>$D$8</x:f>
        <x:v>750000</x:v>
      </x:c>
      <x:c r="F21" s="8" t="n">
        <x:f>IF(B21=$D$6*$D$7,$D$4,0)</x:f>
        <x:v>0</x:v>
      </x:c>
      <x:c r="G21" s="8" t="n">
        <x:f>SUM(E21:F21)</x:f>
        <x:v>750000</x:v>
      </x:c>
      <x:c r="H21" s="46"/>
      <x:c r="I21" s="1"/>
      <x:c r="J21" s="1"/>
      <x:c r="K21" s="1"/>
      <x:c r="L21" s="1"/>
      <x:c r="M21" s="1"/>
    </x:row>
    <x:row r="22" ht="23" customHeight="1">
      <x:c r="A22" s="1"/>
      <x:c r="B22" s="1" t="n">
        <x:v>9</x:v>
      </x:c>
      <x:c r="C22" s="22" t="n">
        <x:f>B22/$D$7</x:f>
        <x:v>4.5</x:v>
      </x:c>
      <x:c r="D22" s="6" t="n">
        <x:v>0.06</x:v>
      </x:c>
      <x:c r="E22" s="8" t="n">
        <x:f>$D$8</x:f>
        <x:v>750000</x:v>
      </x:c>
      <x:c r="F22" s="8" t="n">
        <x:f>IF(B22=$D$6*$D$7,$D$4,0)</x:f>
        <x:v>0</x:v>
      </x:c>
      <x:c r="G22" s="8" t="n">
        <x:f>SUM(E22:F22)</x:f>
        <x:v>750000</x:v>
      </x:c>
      <x:c r="H22" s="46"/>
      <x:c r="I22" s="1"/>
      <x:c r="J22" s="1"/>
      <x:c r="K22" s="1"/>
      <x:c r="L22" s="1"/>
      <x:c r="M22" s="1"/>
    </x:row>
    <x:row r="23" ht="23" customHeight="1">
      <x:c r="A23" s="1"/>
      <x:c r="B23" s="1" t="n">
        <x:v>10</x:v>
      </x:c>
      <x:c r="C23" s="22" t="n">
        <x:f>B23/$D$7</x:f>
        <x:v>5</x:v>
      </x:c>
      <x:c r="D23" s="6" t="n">
        <x:v>0.06</x:v>
      </x:c>
      <x:c r="E23" s="8" t="n">
        <x:f>$D$8</x:f>
        <x:v>750000</x:v>
      </x:c>
      <x:c r="F23" s="8" t="n">
        <x:f>IF(B23=$D$6*$D$7,$D$4,0)</x:f>
        <x:v>30000000</x:v>
      </x:c>
      <x:c r="G23" s="8" t="n">
        <x:f>SUM(E23:F23)</x:f>
        <x:v>30750000</x:v>
      </x:c>
      <x:c r="H23" s="46"/>
      <x:c r="I23" s="1"/>
      <x:c r="J23" s="1"/>
      <x:c r="K23" s="1"/>
      <x:c r="L23" s="1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Bond price (local)</x:v>
      </x:c>
      <x:c r="C26" s="28"/>
      <x:c r="D26" s="28"/>
      <x:c r="E26" s="28"/>
      <x:c r="F26" s="28"/>
      <x:c r="G26" s="28"/>
      <x:c r="H26" s="51"/>
      <x:c r="I26" s="1"/>
      <x:c r="J26" s="1"/>
      <x:c r="K26" s="1"/>
      <x:c r="L26" s="1"/>
      <x:c r="M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52"/>
      <x:c r="I27" s="1"/>
      <x:c r="J27" s="1"/>
      <x:c r="K27" s="1"/>
      <x:c r="L27" s="1"/>
      <x:c r="M27" s="1"/>
    </x:row>
    <x:row r="28" ht="23" customHeight="1">
      <x:c r="A28" s="1"/>
      <x:c r="B28" s="28" t="str">
        <x:v>Trading at</x:v>
      </x:c>
      <x:c r="C28" s="28"/>
      <x:c r="D28" s="28"/>
      <x:c r="E28" s="28"/>
      <x:c r="F28" s="28"/>
      <x:c r="G28" s="28"/>
      <x:c r="H28" s="53"/>
      <x:c r="I28" s="1"/>
      <x:c r="J28" s="1"/>
      <x:c r="K28" s="1"/>
      <x:c r="L28" s="1"/>
      <x:c r="M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 ht="23" customHeight="1">
      <x:c r="A30" s="1"/>
      <x:c r="B30" s="1" t="str">
        <x:v>PV at each maturity = local CF / (1 + local zero rate / 2)^k. Sum the ten PVs.</x:v>
      </x:c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Annual YTM = 2 * RATE(10, half-year coupon, -bond price, face value).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Price below face: Discount. Equal to face: Par. Above face: Premium.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Submit price, annual YTM (enter 5 for 5%) and classification in slide 6.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Fictitious teaching inputs. Use only the case assigned to your name in the lecture.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dataValidations count="1">
    <x:dataValidation type="list" sqref="H28">
      <x:formula1>"Discount,Par,Premium"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2: FX and USD present value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1"/>
    </x:row>
    <x:row r="4" ht="23" customHeight="1">
      <x:c r="A4" s="1"/>
      <x:c r="B4" s="1" t="str">
        <x:v>Face value (KRW)</x:v>
      </x:c>
      <x:c r="C4" s="1"/>
      <x:c r="D4" s="13" t="n">
        <x:f>'Activity 1'!D4</x:f>
        <x:v>30000000</x:v>
      </x:c>
      <x:c r="E4" s="1"/>
      <x:c r="F4" s="1" t="str">
        <x:v>Spot USDKRW_0</x:v>
      </x:c>
      <x:c r="G4" s="1"/>
      <x:c r="H4" s="39" t="n">
        <x:f>'Activity 1'!H4</x:f>
        <x:v>1000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14" t="n">
        <x:f>'Activity 1'!D5</x:f>
        <x:v>0.05</x:v>
      </x:c>
      <x:c r="E5" s="1"/>
      <x:c r="F5" s="1" t="str">
        <x:v>Scenario spot (all t)</x:v>
      </x:c>
      <x:c r="G5" s="1"/>
      <x:c r="H5" s="39" t="n">
        <x:f>'Activity 1'!H5</x:f>
        <x:v>800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15" t="n">
        <x:f>'Activity 1'!D6</x:f>
        <x:v>5</x:v>
      </x:c>
      <x:c r="E6" s="1"/>
      <x:c r="F6" s="1" t="str">
        <x:v>Currency</x:v>
      </x:c>
      <x:c r="G6" s="1"/>
      <x:c r="H6" s="12" t="str">
        <x:f>'Activity 1'!H6</x:f>
        <x:v>KRW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15" t="n">
        <x:f>'Activity 1'!D7</x:f>
        <x:v>2</x:v>
      </x:c>
      <x:c r="E7" s="1"/>
      <x:c r="F7" s="1"/>
      <x:c r="G7" s="1"/>
      <x:c r="H7" s="12" t="str">
        <x:f>'Activity 1'!H7</x:f>
        <x:v>South Korean Won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16" t="n">
        <x:f>'Activity 1'!D8</x:f>
        <x:v>750000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 t="str">
        <x:v>Your A1 price (local)</x:v>
      </x:c>
      <x:c r="G9" s="1"/>
      <x:c r="H9" s="16" t="str">
        <x:f>IF(ISNUMBER('Activity 1'!H26),'Activity 1'!H26,"")</x:f>
      </x:c>
      <x:c r="I9" s="1"/>
      <x:c r="J9" s="1"/>
      <x:c r="K9" s="1"/>
      <x:c r="L9" s="1"/>
      <x:c r="M9" s="1"/>
    </x:row>
    <x:row r="10" ht="23" customHeight="1">
      <x:c r="A10" s="1"/>
      <x:c r="B10" s="28" t="str">
        <x:v>Pasquini, Sasha — KRW-33</x:v>
      </x:c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USD zero rate</x:v>
      </x:c>
      <x:c r="F13" s="44" t="str">
        <x:v>CF (local)</x:v>
      </x:c>
      <x:c r="G13" s="44" t="str">
        <x:v>Forward (0,t)</x:v>
      </x:c>
      <x:c r="H13" s="44" t="str">
        <x:v>CF USD hedged</x:v>
      </x:c>
      <x:c r="I13" s="44" t="str">
        <x:v>PV USD hedged</x:v>
      </x:c>
      <x:c r="J13" s="44" t="str">
        <x:v>Scenario spot (t)</x:v>
      </x:c>
      <x:c r="K13" s="44" t="str">
        <x:v>CF USD unhedged</x:v>
      </x:c>
      <x:c r="L13" s="44" t="str">
        <x:v>PV USD unhedged</x:v>
      </x:c>
      <x:c r="M13" s="1"/>
    </x:row>
    <x:row r="14" ht="23" customHeight="1">
      <x:c r="A14" s="1"/>
      <x:c r="B14" s="12" t="n">
        <x:f>'Activity 1'!B14</x:f>
        <x:v>1</x:v>
      </x:c>
      <x:c r="C14" s="32" t="n">
        <x:f>'Activity 1'!C14</x:f>
        <x:v>0.5</x:v>
      </x:c>
      <x:c r="D14" s="14" t="n">
        <x:f>'Activity 1'!D14</x:f>
        <x:v>0.06</x:v>
      </x:c>
      <x:c r="E14" s="6" t="n">
        <x:v>0.04</x:v>
      </x:c>
      <x:c r="F14" s="16" t="n">
        <x:f>'Activity 1'!G14</x:f>
        <x:v>750000</x:v>
      </x:c>
      <x:c r="G14" s="55"/>
      <x:c r="H14" s="46"/>
      <x:c r="I14" s="46"/>
      <x:c r="J14" s="54" t="n">
        <x:f>$H$5</x:f>
        <x:v>800</x:v>
      </x:c>
      <x:c r="K14" s="46"/>
      <x:c r="L14" s="46"/>
      <x:c r="M14" s="1"/>
    </x:row>
    <x:row r="15" ht="23" customHeight="1">
      <x:c r="A15" s="1"/>
      <x:c r="B15" s="12" t="n">
        <x:f>'Activity 1'!B15</x:f>
        <x:v>2</x:v>
      </x:c>
      <x:c r="C15" s="32" t="n">
        <x:f>'Activity 1'!C15</x:f>
        <x:v>1</x:v>
      </x:c>
      <x:c r="D15" s="14" t="n">
        <x:f>'Activity 1'!D15</x:f>
        <x:v>0.06</x:v>
      </x:c>
      <x:c r="E15" s="6" t="n">
        <x:v>0.04</x:v>
      </x:c>
      <x:c r="F15" s="16" t="n">
        <x:f>'Activity 1'!G15</x:f>
        <x:v>750000</x:v>
      </x:c>
      <x:c r="G15" s="55"/>
      <x:c r="H15" s="46"/>
      <x:c r="I15" s="46"/>
      <x:c r="J15" s="54" t="n">
        <x:f>$H$5</x:f>
        <x:v>800</x:v>
      </x:c>
      <x:c r="K15" s="46"/>
      <x:c r="L15" s="46"/>
      <x:c r="M15" s="1"/>
    </x:row>
    <x:row r="16" ht="23" customHeight="1">
      <x:c r="A16" s="1"/>
      <x:c r="B16" s="12" t="n">
        <x:f>'Activity 1'!B16</x:f>
        <x:v>3</x:v>
      </x:c>
      <x:c r="C16" s="32" t="n">
        <x:f>'Activity 1'!C16</x:f>
        <x:v>1.5</x:v>
      </x:c>
      <x:c r="D16" s="14" t="n">
        <x:f>'Activity 1'!D16</x:f>
        <x:v>0.06</x:v>
      </x:c>
      <x:c r="E16" s="6" t="n">
        <x:v>0.04</x:v>
      </x:c>
      <x:c r="F16" s="16" t="n">
        <x:f>'Activity 1'!G16</x:f>
        <x:v>750000</x:v>
      </x:c>
      <x:c r="G16" s="55"/>
      <x:c r="H16" s="46"/>
      <x:c r="I16" s="46"/>
      <x:c r="J16" s="54" t="n">
        <x:f>$H$5</x:f>
        <x:v>800</x:v>
      </x:c>
      <x:c r="K16" s="46"/>
      <x:c r="L16" s="46"/>
      <x:c r="M16" s="1"/>
    </x:row>
    <x:row r="17" ht="23" customHeight="1">
      <x:c r="A17" s="1"/>
      <x:c r="B17" s="12" t="n">
        <x:f>'Activity 1'!B17</x:f>
        <x:v>4</x:v>
      </x:c>
      <x:c r="C17" s="32" t="n">
        <x:f>'Activity 1'!C17</x:f>
        <x:v>2</x:v>
      </x:c>
      <x:c r="D17" s="14" t="n">
        <x:f>'Activity 1'!D17</x:f>
        <x:v>0.06</x:v>
      </x:c>
      <x:c r="E17" s="6" t="n">
        <x:v>0.04</x:v>
      </x:c>
      <x:c r="F17" s="16" t="n">
        <x:f>'Activity 1'!G17</x:f>
        <x:v>750000</x:v>
      </x:c>
      <x:c r="G17" s="55"/>
      <x:c r="H17" s="46"/>
      <x:c r="I17" s="46"/>
      <x:c r="J17" s="54" t="n">
        <x:f>$H$5</x:f>
        <x:v>800</x:v>
      </x:c>
      <x:c r="K17" s="46"/>
      <x:c r="L17" s="46"/>
      <x:c r="M17" s="1"/>
    </x:row>
    <x:row r="18" ht="23" customHeight="1">
      <x:c r="A18" s="1"/>
      <x:c r="B18" s="12" t="n">
        <x:f>'Activity 1'!B18</x:f>
        <x:v>5</x:v>
      </x:c>
      <x:c r="C18" s="32" t="n">
        <x:f>'Activity 1'!C18</x:f>
        <x:v>2.5</x:v>
      </x:c>
      <x:c r="D18" s="14" t="n">
        <x:f>'Activity 1'!D18</x:f>
        <x:v>0.06</x:v>
      </x:c>
      <x:c r="E18" s="6" t="n">
        <x:v>0.04</x:v>
      </x:c>
      <x:c r="F18" s="16" t="n">
        <x:f>'Activity 1'!G18</x:f>
        <x:v>750000</x:v>
      </x:c>
      <x:c r="G18" s="55"/>
      <x:c r="H18" s="46"/>
      <x:c r="I18" s="46"/>
      <x:c r="J18" s="54" t="n">
        <x:f>$H$5</x:f>
        <x:v>800</x:v>
      </x:c>
      <x:c r="K18" s="46"/>
      <x:c r="L18" s="46"/>
      <x:c r="M18" s="1"/>
    </x:row>
    <x:row r="19" ht="23" customHeight="1">
      <x:c r="A19" s="1"/>
      <x:c r="B19" s="12" t="n">
        <x:f>'Activity 1'!B19</x:f>
        <x:v>6</x:v>
      </x:c>
      <x:c r="C19" s="32" t="n">
        <x:f>'Activity 1'!C19</x:f>
        <x:v>3</x:v>
      </x:c>
      <x:c r="D19" s="14" t="n">
        <x:f>'Activity 1'!D19</x:f>
        <x:v>0.06</x:v>
      </x:c>
      <x:c r="E19" s="6" t="n">
        <x:v>0.04</x:v>
      </x:c>
      <x:c r="F19" s="16" t="n">
        <x:f>'Activity 1'!G19</x:f>
        <x:v>750000</x:v>
      </x:c>
      <x:c r="G19" s="55"/>
      <x:c r="H19" s="46"/>
      <x:c r="I19" s="46"/>
      <x:c r="J19" s="54" t="n">
        <x:f>$H$5</x:f>
        <x:v>800</x:v>
      </x:c>
      <x:c r="K19" s="46"/>
      <x:c r="L19" s="46"/>
      <x:c r="M19" s="1"/>
    </x:row>
    <x:row r="20" ht="23" customHeight="1">
      <x:c r="A20" s="1"/>
      <x:c r="B20" s="12" t="n">
        <x:f>'Activity 1'!B20</x:f>
        <x:v>7</x:v>
      </x:c>
      <x:c r="C20" s="32" t="n">
        <x:f>'Activity 1'!C20</x:f>
        <x:v>3.5</x:v>
      </x:c>
      <x:c r="D20" s="14" t="n">
        <x:f>'Activity 1'!D20</x:f>
        <x:v>0.06</x:v>
      </x:c>
      <x:c r="E20" s="6" t="n">
        <x:v>0.04</x:v>
      </x:c>
      <x:c r="F20" s="16" t="n">
        <x:f>'Activity 1'!G20</x:f>
        <x:v>750000</x:v>
      </x:c>
      <x:c r="G20" s="55"/>
      <x:c r="H20" s="46"/>
      <x:c r="I20" s="46"/>
      <x:c r="J20" s="54" t="n">
        <x:f>$H$5</x:f>
        <x:v>800</x:v>
      </x:c>
      <x:c r="K20" s="46"/>
      <x:c r="L20" s="46"/>
      <x:c r="M20" s="1"/>
    </x:row>
    <x:row r="21" ht="23" customHeight="1">
      <x:c r="A21" s="1"/>
      <x:c r="B21" s="12" t="n">
        <x:f>'Activity 1'!B21</x:f>
        <x:v>8</x:v>
      </x:c>
      <x:c r="C21" s="32" t="n">
        <x:f>'Activity 1'!C21</x:f>
        <x:v>4</x:v>
      </x:c>
      <x:c r="D21" s="14" t="n">
        <x:f>'Activity 1'!D21</x:f>
        <x:v>0.06</x:v>
      </x:c>
      <x:c r="E21" s="6" t="n">
        <x:v>0.04</x:v>
      </x:c>
      <x:c r="F21" s="16" t="n">
        <x:f>'Activity 1'!G21</x:f>
        <x:v>750000</x:v>
      </x:c>
      <x:c r="G21" s="55"/>
      <x:c r="H21" s="46"/>
      <x:c r="I21" s="46"/>
      <x:c r="J21" s="54" t="n">
        <x:f>$H$5</x:f>
        <x:v>800</x:v>
      </x:c>
      <x:c r="K21" s="46"/>
      <x:c r="L21" s="46"/>
      <x:c r="M21" s="1"/>
    </x:row>
    <x:row r="22" ht="23" customHeight="1">
      <x:c r="A22" s="1"/>
      <x:c r="B22" s="12" t="n">
        <x:f>'Activity 1'!B22</x:f>
        <x:v>9</x:v>
      </x:c>
      <x:c r="C22" s="32" t="n">
        <x:f>'Activity 1'!C22</x:f>
        <x:v>4.5</x:v>
      </x:c>
      <x:c r="D22" s="14" t="n">
        <x:f>'Activity 1'!D22</x:f>
        <x:v>0.06</x:v>
      </x:c>
      <x:c r="E22" s="6" t="n">
        <x:v>0.04</x:v>
      </x:c>
      <x:c r="F22" s="16" t="n">
        <x:f>'Activity 1'!G22</x:f>
        <x:v>750000</x:v>
      </x:c>
      <x:c r="G22" s="55"/>
      <x:c r="H22" s="46"/>
      <x:c r="I22" s="46"/>
      <x:c r="J22" s="54" t="n">
        <x:f>$H$5</x:f>
        <x:v>800</x:v>
      </x:c>
      <x:c r="K22" s="46"/>
      <x:c r="L22" s="46"/>
      <x:c r="M22" s="1"/>
    </x:row>
    <x:row r="23" ht="23" customHeight="1">
      <x:c r="A23" s="1"/>
      <x:c r="B23" s="12" t="n">
        <x:f>'Activity 1'!B23</x:f>
        <x:v>10</x:v>
      </x:c>
      <x:c r="C23" s="32" t="n">
        <x:f>'Activity 1'!C23</x:f>
        <x:v>5</x:v>
      </x:c>
      <x:c r="D23" s="14" t="n">
        <x:f>'Activity 1'!D23</x:f>
        <x:v>0.06</x:v>
      </x:c>
      <x:c r="E23" s="6" t="n">
        <x:v>0.04</x:v>
      </x:c>
      <x:c r="F23" s="16" t="n">
        <x:f>'Activity 1'!G23</x:f>
        <x:v>30750000</x:v>
      </x:c>
      <x:c r="G23" s="55"/>
      <x:c r="H23" s="46"/>
      <x:c r="I23" s="46"/>
      <x:c r="J23" s="54" t="n">
        <x:f>$H$5</x:f>
        <x:v>800</x:v>
      </x:c>
      <x:c r="K23" s="46"/>
      <x:c r="L23" s="46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Unhedged PV (USD)</x:v>
      </x:c>
      <x:c r="C26" s="28"/>
      <x:c r="D26" s="28"/>
      <x:c r="E26" s="28"/>
      <x:c r="F26" s="28"/>
      <x:c r="G26" s="28"/>
      <x:c r="H26" s="28"/>
      <x:c r="I26" s="28"/>
      <x:c r="J26" s="28"/>
      <x:c r="K26" s="28"/>
      <x:c r="L26" s="51"/>
      <x:c r="M26" s="1"/>
    </x:row>
    <x:row r="27" ht="23" customHeight="1">
      <x:c r="A27" s="1"/>
      <x:c r="B27" s="28" t="str">
        <x:v>Hedged PV (USD)</x:v>
      </x:c>
      <x:c r="C27" s="28"/>
      <x:c r="D27" s="28"/>
      <x:c r="E27" s="28"/>
      <x:c r="F27" s="28"/>
      <x:c r="G27" s="28"/>
      <x:c r="H27" s="28"/>
      <x:c r="I27" s="28"/>
      <x:c r="J27" s="28"/>
      <x:c r="K27" s="28"/>
      <x:c r="L27" s="51"/>
      <x:c r="M27" s="1"/>
    </x:row>
    <x:row r="28" ht="23" customHeight="1">
      <x:c r="A28" s="1"/>
      <x:c r="B28" s="28" t="str">
        <x:v>PV savings (USD)</x:v>
      </x:c>
      <x:c r="C28" s="28"/>
      <x:c r="D28" s="28"/>
      <x:c r="E28" s="28"/>
      <x:c r="F28" s="28"/>
      <x:c r="G28" s="28"/>
      <x:c r="H28" s="28"/>
      <x:c r="I28" s="28"/>
      <x:c r="J28" s="28"/>
      <x:c r="K28" s="28"/>
      <x:c r="L28" s="51"/>
      <x:c r="M28" s="1"/>
    </x:row>
    <x:row r="29" ht="23" customHeight="1">
      <x:c r="A29" s="1"/>
      <x:c r="B29" s="1" t="str">
        <x:v>A1 price / spot (USD benchmark)</x:v>
      </x:c>
      <x:c r="C29" s="1"/>
      <x:c r="D29" s="1"/>
      <x:c r="E29" s="1"/>
      <x:c r="F29" s="1"/>
      <x:c r="G29" s="1"/>
      <x:c r="H29" s="1"/>
      <x:c r="I29" s="1"/>
      <x:c r="J29" s="1"/>
      <x:c r="K29" s="1"/>
      <x:c r="L29" s="46"/>
      <x:c r="M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1. Forward (0,t) = spot at time 0 * (1 + local zero rate / 2)^k / (1 + USD zero rate / 2)^k, where k = 2t.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2. Hedged USD cash flow = local CF / its forward. PV = that USD cash flow / (1 + USD zero rate / 2)^k.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3. Unhedged USD cash flow = local CF / scenario spot(t). Discount at the same USD zero rate and maturity.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 t="str">
        <x:v>4. Sum each PV column. PV savings = unhedged PV - hedged PV. Submit those three USD amounts in slide 12.</x:v>
      </x:c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5. Reconcile hedged PV with your Activity 1 price / spot at time 0. This is a check, not a fourth submission.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 t="str">
        <x:v>Quotes are local currency per USD. Rates are annual, compounded semiannually. Use decimal rates and full precision.</x:v>
      </x:c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 t="str">
        <x:v>PVs measure future payments. Do not subtract initial proceeds. The unhedged PV is conditional on the supplied FX scenario.</x:v>
      </x:c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 t="str">
        <x:v>The scenario quote falls 20% at all maturities. All activity inputs are fictitious; the first three tabs are the separate Chile example.</x:v>
      </x:c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pageMargins left="0.7" right="0.7" top="0.75" bottom="0.75" header="0.3" footer="0.3"/>
</x:worksheet>
</file>