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c376cebe7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1a5e3e12c27240b9"/>
    <x:sheet xmlns:r="http://schemas.openxmlformats.org/officeDocument/2006/relationships" name="Formula" sheetId="2" r:id="R45bf51acdb7344b9"/>
    <x:sheet xmlns:r="http://schemas.openxmlformats.org/officeDocument/2006/relationships" name="FX" sheetId="3" r:id="R3d301ace69484159"/>
    <x:sheet xmlns:r="http://schemas.openxmlformats.org/officeDocument/2006/relationships" name="Activity 1" sheetId="4" r:id="Rf260e073be964f79"/>
    <x:sheet xmlns:r="http://schemas.openxmlformats.org/officeDocument/2006/relationships" name="Activity 2" sheetId="5" r:id="R6f5fffd3be6b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a517ae02c4172" /><Relationship Type="http://schemas.openxmlformats.org/officeDocument/2006/relationships/theme" Target="/xl/theme/theme1.xml" Id="R0467944cb6b9479f" /><Relationship Type="http://schemas.openxmlformats.org/officeDocument/2006/relationships/sharedStrings" Target="/xl/sharedStrings.xml" Id="R711839e3467a4ea3" /><Relationship Type="http://schemas.openxmlformats.org/officeDocument/2006/relationships/worksheet" Target="/xl/worksheets/sheet1.xml" Id="R1a5e3e12c27240b9" /><Relationship Type="http://schemas.openxmlformats.org/officeDocument/2006/relationships/worksheet" Target="/xl/worksheets/sheet2.xml" Id="R45bf51acdb7344b9" /><Relationship Type="http://schemas.openxmlformats.org/officeDocument/2006/relationships/worksheet" Target="/xl/worksheets/sheet3.xml" Id="R3d301ace69484159" /><Relationship Type="http://schemas.openxmlformats.org/officeDocument/2006/relationships/worksheet" Target="/xl/worksheets/sheet4.xml" Id="Rf260e073be964f79" /><Relationship Type="http://schemas.openxmlformats.org/officeDocument/2006/relationships/worksheet" Target="/xl/worksheets/sheet5.xml" Id="R6f5fffd3be6b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10000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Burke, Ryan — CHF-05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250</x:v>
      </x:c>
      <x:c r="F14" s="8" t="n">
        <x:f>IF(B14=$D$6*$D$7,$D$4,0)</x:f>
        <x:v>0</x:v>
      </x:c>
      <x:c r="G14" s="8" t="n">
        <x:f>SUM(E14:F14)</x:f>
        <x:v>250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250</x:v>
      </x:c>
      <x:c r="F15" s="8" t="n">
        <x:f>IF(B15=$D$6*$D$7,$D$4,0)</x:f>
        <x:v>0</x:v>
      </x:c>
      <x:c r="G15" s="8" t="n">
        <x:f>SUM(E15:F15)</x:f>
        <x:v>250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250</x:v>
      </x:c>
      <x:c r="F16" s="8" t="n">
        <x:f>IF(B16=$D$6*$D$7,$D$4,0)</x:f>
        <x:v>0</x:v>
      </x:c>
      <x:c r="G16" s="8" t="n">
        <x:f>SUM(E16:F16)</x:f>
        <x:v>250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250</x:v>
      </x:c>
      <x:c r="F17" s="8" t="n">
        <x:f>IF(B17=$D$6*$D$7,$D$4,0)</x:f>
        <x:v>0</x:v>
      </x:c>
      <x:c r="G17" s="8" t="n">
        <x:f>SUM(E17:F17)</x:f>
        <x:v>250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250</x:v>
      </x:c>
      <x:c r="F18" s="8" t="n">
        <x:f>IF(B18=$D$6*$D$7,$D$4,0)</x:f>
        <x:v>0</x:v>
      </x:c>
      <x:c r="G18" s="8" t="n">
        <x:f>SUM(E18:F18)</x:f>
        <x:v>250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250</x:v>
      </x:c>
      <x:c r="F19" s="8" t="n">
        <x:f>IF(B19=$D$6*$D$7,$D$4,0)</x:f>
        <x:v>0</x:v>
      </x:c>
      <x:c r="G19" s="8" t="n">
        <x:f>SUM(E19:F19)</x:f>
        <x:v>250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250</x:v>
      </x:c>
      <x:c r="F20" s="8" t="n">
        <x:f>IF(B20=$D$6*$D$7,$D$4,0)</x:f>
        <x:v>0</x:v>
      </x:c>
      <x:c r="G20" s="8" t="n">
        <x:f>SUM(E20:F20)</x:f>
        <x:v>250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250</x:v>
      </x:c>
      <x:c r="F21" s="8" t="n">
        <x:f>IF(B21=$D$6*$D$7,$D$4,0)</x:f>
        <x:v>0</x:v>
      </x:c>
      <x:c r="G21" s="8" t="n">
        <x:f>SUM(E21:F21)</x:f>
        <x:v>250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250</x:v>
      </x:c>
      <x:c r="F22" s="8" t="n">
        <x:f>IF(B22=$D$6*$D$7,$D$4,0)</x:f>
        <x:v>0</x:v>
      </x:c>
      <x:c r="G22" s="8" t="n">
        <x:f>SUM(E22:F22)</x:f>
        <x:v>250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250</x:v>
      </x:c>
      <x:c r="F23" s="8" t="n">
        <x:f>IF(B23=$D$6*$D$7,$D$4,0)</x:f>
        <x:v>10000</x:v>
      </x:c>
      <x:c r="G23" s="8" t="n">
        <x:f>SUM(E23:F23)</x:f>
        <x:v>10250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10000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Burke, Ryan — CHF-05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250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250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250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250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250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250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250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250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250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10250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