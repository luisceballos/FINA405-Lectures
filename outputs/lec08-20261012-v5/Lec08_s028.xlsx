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06a396f4b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4f0cc8d158b1493a"/>
    <x:sheet xmlns:r="http://schemas.openxmlformats.org/officeDocument/2006/relationships" name="Formula" sheetId="2" r:id="R02845232949e4a10"/>
    <x:sheet xmlns:r="http://schemas.openxmlformats.org/officeDocument/2006/relationships" name="FX" sheetId="3" r:id="Rfdf8dd4e6de9438d"/>
    <x:sheet xmlns:r="http://schemas.openxmlformats.org/officeDocument/2006/relationships" name="Activity 1" sheetId="4" r:id="R0641112401784419"/>
    <x:sheet xmlns:r="http://schemas.openxmlformats.org/officeDocument/2006/relationships" name="Activity 2" sheetId="5" r:id="Rddfc486a2f1f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2d2b8101f4e05" /><Relationship Type="http://schemas.openxmlformats.org/officeDocument/2006/relationships/theme" Target="/xl/theme/theme1.xml" Id="Rdedff21311154915" /><Relationship Type="http://schemas.openxmlformats.org/officeDocument/2006/relationships/sharedStrings" Target="/xl/sharedStrings.xml" Id="Rc8309b0552d74f21" /><Relationship Type="http://schemas.openxmlformats.org/officeDocument/2006/relationships/worksheet" Target="/xl/worksheets/sheet1.xml" Id="R4f0cc8d158b1493a" /><Relationship Type="http://schemas.openxmlformats.org/officeDocument/2006/relationships/worksheet" Target="/xl/worksheets/sheet2.xml" Id="R02845232949e4a10" /><Relationship Type="http://schemas.openxmlformats.org/officeDocument/2006/relationships/worksheet" Target="/xl/worksheets/sheet3.xml" Id="Rfdf8dd4e6de9438d" /><Relationship Type="http://schemas.openxmlformats.org/officeDocument/2006/relationships/worksheet" Target="/xl/worksheets/sheet4.xml" Id="R0641112401784419" /><Relationship Type="http://schemas.openxmlformats.org/officeDocument/2006/relationships/worksheet" Target="/xl/worksheets/sheet5.xml" Id="Rddfc486a2f1f44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(KRW)</x:v>
      </x:c>
      <x:c r="C4" s="1"/>
      <x:c r="D4" s="5" t="n">
        <x:v>20000000</x:v>
      </x:c>
      <x:c r="E4" s="1"/>
      <x:c r="F4" s="1" t="str">
        <x:v>Spot USDKRW_0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Moon, Jackson — KRW-28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500000</x:v>
      </x:c>
      <x:c r="F14" s="8" t="n">
        <x:f>IF(B14=$D$6*$D$7,$D$4,0)</x:f>
        <x:v>0</x:v>
      </x:c>
      <x:c r="G14" s="8" t="n">
        <x:f>SUM(E14:F14)</x:f>
        <x:v>500000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500000</x:v>
      </x:c>
      <x:c r="F15" s="8" t="n">
        <x:f>IF(B15=$D$6*$D$7,$D$4,0)</x:f>
        <x:v>0</x:v>
      </x:c>
      <x:c r="G15" s="8" t="n">
        <x:f>SUM(E15:F15)</x:f>
        <x:v>500000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500000</x:v>
      </x:c>
      <x:c r="F16" s="8" t="n">
        <x:f>IF(B16=$D$6*$D$7,$D$4,0)</x:f>
        <x:v>0</x:v>
      </x:c>
      <x:c r="G16" s="8" t="n">
        <x:f>SUM(E16:F16)</x:f>
        <x:v>500000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500000</x:v>
      </x:c>
      <x:c r="F17" s="8" t="n">
        <x:f>IF(B17=$D$6*$D$7,$D$4,0)</x:f>
        <x:v>0</x:v>
      </x:c>
      <x:c r="G17" s="8" t="n">
        <x:f>SUM(E17:F17)</x:f>
        <x:v>500000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500000</x:v>
      </x:c>
      <x:c r="F18" s="8" t="n">
        <x:f>IF(B18=$D$6*$D$7,$D$4,0)</x:f>
        <x:v>0</x:v>
      </x:c>
      <x:c r="G18" s="8" t="n">
        <x:f>SUM(E18:F18)</x:f>
        <x:v>500000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500000</x:v>
      </x:c>
      <x:c r="F19" s="8" t="n">
        <x:f>IF(B19=$D$6*$D$7,$D$4,0)</x:f>
        <x:v>0</x:v>
      </x:c>
      <x:c r="G19" s="8" t="n">
        <x:f>SUM(E19:F19)</x:f>
        <x:v>500000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500000</x:v>
      </x:c>
      <x:c r="F20" s="8" t="n">
        <x:f>IF(B20=$D$6*$D$7,$D$4,0)</x:f>
        <x:v>0</x:v>
      </x:c>
      <x:c r="G20" s="8" t="n">
        <x:f>SUM(E20:F20)</x:f>
        <x:v>500000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500000</x:v>
      </x:c>
      <x:c r="F21" s="8" t="n">
        <x:f>IF(B21=$D$6*$D$7,$D$4,0)</x:f>
        <x:v>0</x:v>
      </x:c>
      <x:c r="G21" s="8" t="n">
        <x:f>SUM(E21:F21)</x:f>
        <x:v>500000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500000</x:v>
      </x:c>
      <x:c r="F22" s="8" t="n">
        <x:f>IF(B22=$D$6*$D$7,$D$4,0)</x:f>
        <x:v>0</x:v>
      </x:c>
      <x:c r="G22" s="8" t="n">
        <x:f>SUM(E22:F22)</x:f>
        <x:v>500000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500000</x:v>
      </x:c>
      <x:c r="F23" s="8" t="n">
        <x:f>IF(B23=$D$6*$D$7,$D$4,0)</x:f>
        <x:v>20000000</x:v>
      </x:c>
      <x:c r="G23" s="8" t="n">
        <x:f>SUM(E23:F23)</x:f>
        <x:v>20500000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(KRW)</x:v>
      </x:c>
      <x:c r="C4" s="1"/>
      <x:c r="D4" s="13" t="n">
        <x:f>'Activity 1'!D4</x:f>
        <x:v>20000000</x:v>
      </x:c>
      <x:c r="E4" s="1"/>
      <x:c r="F4" s="1" t="str">
        <x:v>Spot USDKRW_0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KRW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South Korean Won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Moon, Jackson — KRW-28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500000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500000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500000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500000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500000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500000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500000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500000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500000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20500000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