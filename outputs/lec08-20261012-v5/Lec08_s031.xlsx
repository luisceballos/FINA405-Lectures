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5e84e362a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96f164b5cb5e43aa"/>
    <x:sheet xmlns:r="http://schemas.openxmlformats.org/officeDocument/2006/relationships" name="Formula" sheetId="2" r:id="R579e4a8cba9349e3"/>
    <x:sheet xmlns:r="http://schemas.openxmlformats.org/officeDocument/2006/relationships" name="FX" sheetId="3" r:id="Rddf0b5bfde674f54"/>
    <x:sheet xmlns:r="http://schemas.openxmlformats.org/officeDocument/2006/relationships" name="Activity 1" sheetId="4" r:id="R70691d500b69432b"/>
    <x:sheet xmlns:r="http://schemas.openxmlformats.org/officeDocument/2006/relationships" name="Activity 2" sheetId="5" r:id="R63965bf4088e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08d766e8c4779" /><Relationship Type="http://schemas.openxmlformats.org/officeDocument/2006/relationships/theme" Target="/xl/theme/theme1.xml" Id="R6844bb95669a4f24" /><Relationship Type="http://schemas.openxmlformats.org/officeDocument/2006/relationships/sharedStrings" Target="/xl/sharedStrings.xml" Id="R9e6897ce5b544fba" /><Relationship Type="http://schemas.openxmlformats.org/officeDocument/2006/relationships/worksheet" Target="/xl/worksheets/sheet1.xml" Id="R96f164b5cb5e43aa" /><Relationship Type="http://schemas.openxmlformats.org/officeDocument/2006/relationships/worksheet" Target="/xl/worksheets/sheet2.xml" Id="R579e4a8cba9349e3" /><Relationship Type="http://schemas.openxmlformats.org/officeDocument/2006/relationships/worksheet" Target="/xl/worksheets/sheet3.xml" Id="Rddf0b5bfde674f54" /><Relationship Type="http://schemas.openxmlformats.org/officeDocument/2006/relationships/worksheet" Target="/xl/worksheets/sheet4.xml" Id="R70691d500b69432b" /><Relationship Type="http://schemas.openxmlformats.org/officeDocument/2006/relationships/worksheet" Target="/xl/worksheets/sheet5.xml" Id="R63965bf4088e40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(CLP)</x:v>
      </x:c>
      <x:c r="C4" s="1"/>
      <x:c r="D4" s="5" t="n">
        <x:v>30000000</x:v>
      </x:c>
      <x:c r="E4" s="1"/>
      <x:c r="F4" s="1" t="str">
        <x:v>Spot USDCLP_0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Ortiz, Genesis — CLP-31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750000</x:v>
      </x:c>
      <x:c r="F14" s="8" t="n">
        <x:f>IF(B14=$D$6*$D$7,$D$4,0)</x:f>
        <x:v>0</x:v>
      </x:c>
      <x:c r="G14" s="8" t="n">
        <x:f>SUM(E14:F14)</x:f>
        <x:v>750000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750000</x:v>
      </x:c>
      <x:c r="F15" s="8" t="n">
        <x:f>IF(B15=$D$6*$D$7,$D$4,0)</x:f>
        <x:v>0</x:v>
      </x:c>
      <x:c r="G15" s="8" t="n">
        <x:f>SUM(E15:F15)</x:f>
        <x:v>750000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750000</x:v>
      </x:c>
      <x:c r="F16" s="8" t="n">
        <x:f>IF(B16=$D$6*$D$7,$D$4,0)</x:f>
        <x:v>0</x:v>
      </x:c>
      <x:c r="G16" s="8" t="n">
        <x:f>SUM(E16:F16)</x:f>
        <x:v>750000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750000</x:v>
      </x:c>
      <x:c r="F17" s="8" t="n">
        <x:f>IF(B17=$D$6*$D$7,$D$4,0)</x:f>
        <x:v>0</x:v>
      </x:c>
      <x:c r="G17" s="8" t="n">
        <x:f>SUM(E17:F17)</x:f>
        <x:v>750000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750000</x:v>
      </x:c>
      <x:c r="F18" s="8" t="n">
        <x:f>IF(B18=$D$6*$D$7,$D$4,0)</x:f>
        <x:v>0</x:v>
      </x:c>
      <x:c r="G18" s="8" t="n">
        <x:f>SUM(E18:F18)</x:f>
        <x:v>750000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750000</x:v>
      </x:c>
      <x:c r="F19" s="8" t="n">
        <x:f>IF(B19=$D$6*$D$7,$D$4,0)</x:f>
        <x:v>0</x:v>
      </x:c>
      <x:c r="G19" s="8" t="n">
        <x:f>SUM(E19:F19)</x:f>
        <x:v>750000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750000</x:v>
      </x:c>
      <x:c r="F20" s="8" t="n">
        <x:f>IF(B20=$D$6*$D$7,$D$4,0)</x:f>
        <x:v>0</x:v>
      </x:c>
      <x:c r="G20" s="8" t="n">
        <x:f>SUM(E20:F20)</x:f>
        <x:v>750000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750000</x:v>
      </x:c>
      <x:c r="F21" s="8" t="n">
        <x:f>IF(B21=$D$6*$D$7,$D$4,0)</x:f>
        <x:v>0</x:v>
      </x:c>
      <x:c r="G21" s="8" t="n">
        <x:f>SUM(E21:F21)</x:f>
        <x:v>750000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750000</x:v>
      </x:c>
      <x:c r="F22" s="8" t="n">
        <x:f>IF(B22=$D$6*$D$7,$D$4,0)</x:f>
        <x:v>0</x:v>
      </x:c>
      <x:c r="G22" s="8" t="n">
        <x:f>SUM(E22:F22)</x:f>
        <x:v>750000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750000</x:v>
      </x:c>
      <x:c r="F23" s="8" t="n">
        <x:f>IF(B23=$D$6*$D$7,$D$4,0)</x:f>
        <x:v>30000000</x:v>
      </x:c>
      <x:c r="G23" s="8" t="n">
        <x:f>SUM(E23:F23)</x:f>
        <x:v>30750000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(CLP)</x:v>
      </x:c>
      <x:c r="C4" s="1"/>
      <x:c r="D4" s="13" t="n">
        <x:f>'Activity 1'!D4</x:f>
        <x:v>30000000</x:v>
      </x:c>
      <x:c r="E4" s="1"/>
      <x:c r="F4" s="1" t="str">
        <x:v>Spot USDCLP_0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Ortiz, Genesis — CLP-31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750000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750000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750000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750000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750000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750000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750000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750000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750000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30750000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