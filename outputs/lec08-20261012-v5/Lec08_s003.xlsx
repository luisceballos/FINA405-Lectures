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144778a3604d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6a14d91efec347cc"/>
    <x:sheet xmlns:r="http://schemas.openxmlformats.org/officeDocument/2006/relationships" name="Formula" sheetId="2" r:id="R6b64596e66ea482f"/>
    <x:sheet xmlns:r="http://schemas.openxmlformats.org/officeDocument/2006/relationships" name="FX" sheetId="3" r:id="Re623a4f285e64a80"/>
    <x:sheet xmlns:r="http://schemas.openxmlformats.org/officeDocument/2006/relationships" name="Activity 1" sheetId="4" r:id="Rf46cb0b26cb645da"/>
    <x:sheet xmlns:r="http://schemas.openxmlformats.org/officeDocument/2006/relationships" name="Activity 2" sheetId="5" r:id="Rafcd3bc205be40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587772d7f444f1" /><Relationship Type="http://schemas.openxmlformats.org/officeDocument/2006/relationships/theme" Target="/xl/theme/theme1.xml" Id="R3154fe2e2ea143ef" /><Relationship Type="http://schemas.openxmlformats.org/officeDocument/2006/relationships/sharedStrings" Target="/xl/sharedStrings.xml" Id="R2489451366f04f1d" /><Relationship Type="http://schemas.openxmlformats.org/officeDocument/2006/relationships/worksheet" Target="/xl/worksheets/sheet1.xml" Id="R6a14d91efec347cc" /><Relationship Type="http://schemas.openxmlformats.org/officeDocument/2006/relationships/worksheet" Target="/xl/worksheets/sheet2.xml" Id="R6b64596e66ea482f" /><Relationship Type="http://schemas.openxmlformats.org/officeDocument/2006/relationships/worksheet" Target="/xl/worksheets/sheet3.xml" Id="Re623a4f285e64a80" /><Relationship Type="http://schemas.openxmlformats.org/officeDocument/2006/relationships/worksheet" Target="/xl/worksheets/sheet4.xml" Id="Rf46cb0b26cb645da" /><Relationship Type="http://schemas.openxmlformats.org/officeDocument/2006/relationships/worksheet" Target="/xl/worksheets/sheet5.xml" Id="Rafcd3bc205be40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(KRW)</x:v>
      </x:c>
      <x:c r="C4" s="1"/>
      <x:c r="D4" s="5" t="n">
        <x:v>10000000</x:v>
      </x:c>
      <x:c r="E4" s="1"/>
      <x:c r="F4" s="1" t="str">
        <x:v>Spot USDKRW_0</x:v>
      </x:c>
      <x:c r="G4" s="1"/>
      <x:c r="H4" s="56" t="n">
        <x:v>1000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800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KRW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South Korean Won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250000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Brambila, Eddie Medina — KRW-03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0.06</x:v>
      </x:c>
      <x:c r="E14" s="8" t="n">
        <x:f>$D$8</x:f>
        <x:v>250000</x:v>
      </x:c>
      <x:c r="F14" s="8" t="n">
        <x:f>IF(B14=$D$6*$D$7,$D$4,0)</x:f>
        <x:v>0</x:v>
      </x:c>
      <x:c r="G14" s="8" t="n">
        <x:f>SUM(E14:F14)</x:f>
        <x:v>250000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0.06</x:v>
      </x:c>
      <x:c r="E15" s="8" t="n">
        <x:f>$D$8</x:f>
        <x:v>250000</x:v>
      </x:c>
      <x:c r="F15" s="8" t="n">
        <x:f>IF(B15=$D$6*$D$7,$D$4,0)</x:f>
        <x:v>0</x:v>
      </x:c>
      <x:c r="G15" s="8" t="n">
        <x:f>SUM(E15:F15)</x:f>
        <x:v>250000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0.06</x:v>
      </x:c>
      <x:c r="E16" s="8" t="n">
        <x:f>$D$8</x:f>
        <x:v>250000</x:v>
      </x:c>
      <x:c r="F16" s="8" t="n">
        <x:f>IF(B16=$D$6*$D$7,$D$4,0)</x:f>
        <x:v>0</x:v>
      </x:c>
      <x:c r="G16" s="8" t="n">
        <x:f>SUM(E16:F16)</x:f>
        <x:v>250000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0.06</x:v>
      </x:c>
      <x:c r="E17" s="8" t="n">
        <x:f>$D$8</x:f>
        <x:v>250000</x:v>
      </x:c>
      <x:c r="F17" s="8" t="n">
        <x:f>IF(B17=$D$6*$D$7,$D$4,0)</x:f>
        <x:v>0</x:v>
      </x:c>
      <x:c r="G17" s="8" t="n">
        <x:f>SUM(E17:F17)</x:f>
        <x:v>250000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0.06</x:v>
      </x:c>
      <x:c r="E18" s="8" t="n">
        <x:f>$D$8</x:f>
        <x:v>250000</x:v>
      </x:c>
      <x:c r="F18" s="8" t="n">
        <x:f>IF(B18=$D$6*$D$7,$D$4,0)</x:f>
        <x:v>0</x:v>
      </x:c>
      <x:c r="G18" s="8" t="n">
        <x:f>SUM(E18:F18)</x:f>
        <x:v>250000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0.06</x:v>
      </x:c>
      <x:c r="E19" s="8" t="n">
        <x:f>$D$8</x:f>
        <x:v>250000</x:v>
      </x:c>
      <x:c r="F19" s="8" t="n">
        <x:f>IF(B19=$D$6*$D$7,$D$4,0)</x:f>
        <x:v>0</x:v>
      </x:c>
      <x:c r="G19" s="8" t="n">
        <x:f>SUM(E19:F19)</x:f>
        <x:v>250000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0.06</x:v>
      </x:c>
      <x:c r="E20" s="8" t="n">
        <x:f>$D$8</x:f>
        <x:v>250000</x:v>
      </x:c>
      <x:c r="F20" s="8" t="n">
        <x:f>IF(B20=$D$6*$D$7,$D$4,0)</x:f>
        <x:v>0</x:v>
      </x:c>
      <x:c r="G20" s="8" t="n">
        <x:f>SUM(E20:F20)</x:f>
        <x:v>250000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0.06</x:v>
      </x:c>
      <x:c r="E21" s="8" t="n">
        <x:f>$D$8</x:f>
        <x:v>250000</x:v>
      </x:c>
      <x:c r="F21" s="8" t="n">
        <x:f>IF(B21=$D$6*$D$7,$D$4,0)</x:f>
        <x:v>0</x:v>
      </x:c>
      <x:c r="G21" s="8" t="n">
        <x:f>SUM(E21:F21)</x:f>
        <x:v>250000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0.06</x:v>
      </x:c>
      <x:c r="E22" s="8" t="n">
        <x:f>$D$8</x:f>
        <x:v>250000</x:v>
      </x:c>
      <x:c r="F22" s="8" t="n">
        <x:f>IF(B22=$D$6*$D$7,$D$4,0)</x:f>
        <x:v>0</x:v>
      </x:c>
      <x:c r="G22" s="8" t="n">
        <x:f>SUM(E22:F22)</x:f>
        <x:v>250000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0.06</x:v>
      </x:c>
      <x:c r="E23" s="8" t="n">
        <x:f>$D$8</x:f>
        <x:v>250000</x:v>
      </x:c>
      <x:c r="F23" s="8" t="n">
        <x:f>IF(B23=$D$6*$D$7,$D$4,0)</x:f>
        <x:v>10000000</x:v>
      </x:c>
      <x:c r="G23" s="8" t="n">
        <x:f>SUM(E23:F23)</x:f>
        <x:v>10250000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(KRW)</x:v>
      </x:c>
      <x:c r="C4" s="1"/>
      <x:c r="D4" s="13" t="n">
        <x:f>'Activity 1'!D4</x:f>
        <x:v>10000000</x:v>
      </x:c>
      <x:c r="E4" s="1"/>
      <x:c r="F4" s="1" t="str">
        <x:v>Spot USDKRW_0</x:v>
      </x:c>
      <x:c r="G4" s="1"/>
      <x:c r="H4" s="39" t="n">
        <x:f>'Activity 1'!H4</x:f>
        <x:v>1000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800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KRW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South Korean Won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250000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Brambila, Eddie Medina — KRW-03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0.06</x:v>
      </x:c>
      <x:c r="E14" s="6" t="n">
        <x:v>0.04</x:v>
      </x:c>
      <x:c r="F14" s="16" t="n">
        <x:f>'Activity 1'!G14</x:f>
        <x:v>250000</x:v>
      </x:c>
      <x:c r="G14" s="55"/>
      <x:c r="H14" s="46"/>
      <x:c r="I14" s="46"/>
      <x:c r="J14" s="54" t="n">
        <x:f>$H$5</x:f>
        <x:v>800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0.06</x:v>
      </x:c>
      <x:c r="E15" s="6" t="n">
        <x:v>0.04</x:v>
      </x:c>
      <x:c r="F15" s="16" t="n">
        <x:f>'Activity 1'!G15</x:f>
        <x:v>250000</x:v>
      </x:c>
      <x:c r="G15" s="55"/>
      <x:c r="H15" s="46"/>
      <x:c r="I15" s="46"/>
      <x:c r="J15" s="54" t="n">
        <x:f>$H$5</x:f>
        <x:v>800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0.06</x:v>
      </x:c>
      <x:c r="E16" s="6" t="n">
        <x:v>0.04</x:v>
      </x:c>
      <x:c r="F16" s="16" t="n">
        <x:f>'Activity 1'!G16</x:f>
        <x:v>250000</x:v>
      </x:c>
      <x:c r="G16" s="55"/>
      <x:c r="H16" s="46"/>
      <x:c r="I16" s="46"/>
      <x:c r="J16" s="54" t="n">
        <x:f>$H$5</x:f>
        <x:v>800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0.06</x:v>
      </x:c>
      <x:c r="E17" s="6" t="n">
        <x:v>0.04</x:v>
      </x:c>
      <x:c r="F17" s="16" t="n">
        <x:f>'Activity 1'!G17</x:f>
        <x:v>250000</x:v>
      </x:c>
      <x:c r="G17" s="55"/>
      <x:c r="H17" s="46"/>
      <x:c r="I17" s="46"/>
      <x:c r="J17" s="54" t="n">
        <x:f>$H$5</x:f>
        <x:v>800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0.06</x:v>
      </x:c>
      <x:c r="E18" s="6" t="n">
        <x:v>0.04</x:v>
      </x:c>
      <x:c r="F18" s="16" t="n">
        <x:f>'Activity 1'!G18</x:f>
        <x:v>250000</x:v>
      </x:c>
      <x:c r="G18" s="55"/>
      <x:c r="H18" s="46"/>
      <x:c r="I18" s="46"/>
      <x:c r="J18" s="54" t="n">
        <x:f>$H$5</x:f>
        <x:v>800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0.06</x:v>
      </x:c>
      <x:c r="E19" s="6" t="n">
        <x:v>0.04</x:v>
      </x:c>
      <x:c r="F19" s="16" t="n">
        <x:f>'Activity 1'!G19</x:f>
        <x:v>250000</x:v>
      </x:c>
      <x:c r="G19" s="55"/>
      <x:c r="H19" s="46"/>
      <x:c r="I19" s="46"/>
      <x:c r="J19" s="54" t="n">
        <x:f>$H$5</x:f>
        <x:v>800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0.06</x:v>
      </x:c>
      <x:c r="E20" s="6" t="n">
        <x:v>0.04</x:v>
      </x:c>
      <x:c r="F20" s="16" t="n">
        <x:f>'Activity 1'!G20</x:f>
        <x:v>250000</x:v>
      </x:c>
      <x:c r="G20" s="55"/>
      <x:c r="H20" s="46"/>
      <x:c r="I20" s="46"/>
      <x:c r="J20" s="54" t="n">
        <x:f>$H$5</x:f>
        <x:v>800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0.06</x:v>
      </x:c>
      <x:c r="E21" s="6" t="n">
        <x:v>0.04</x:v>
      </x:c>
      <x:c r="F21" s="16" t="n">
        <x:f>'Activity 1'!G21</x:f>
        <x:v>250000</x:v>
      </x:c>
      <x:c r="G21" s="55"/>
      <x:c r="H21" s="46"/>
      <x:c r="I21" s="46"/>
      <x:c r="J21" s="54" t="n">
        <x:f>$H$5</x:f>
        <x:v>800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0.06</x:v>
      </x:c>
      <x:c r="E22" s="6" t="n">
        <x:v>0.04</x:v>
      </x:c>
      <x:c r="F22" s="16" t="n">
        <x:f>'Activity 1'!G22</x:f>
        <x:v>250000</x:v>
      </x:c>
      <x:c r="G22" s="55"/>
      <x:c r="H22" s="46"/>
      <x:c r="I22" s="46"/>
      <x:c r="J22" s="54" t="n">
        <x:f>$H$5</x:f>
        <x:v>800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0.06</x:v>
      </x:c>
      <x:c r="E23" s="6" t="n">
        <x:v>0.04</x:v>
      </x:c>
      <x:c r="F23" s="16" t="n">
        <x:f>'Activity 1'!G23</x:f>
        <x:v>10250000</x:v>
      </x:c>
      <x:c r="G23" s="55"/>
      <x:c r="H23" s="46"/>
      <x:c r="I23" s="46"/>
      <x:c r="J23" s="54" t="n">
        <x:f>$H$5</x:f>
        <x:v>800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