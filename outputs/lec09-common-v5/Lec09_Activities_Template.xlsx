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565a7f725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 1" sheetId="1" r:id="R712a54f6680c4238"/>
    <x:sheet xmlns:r="http://schemas.openxmlformats.org/officeDocument/2006/relationships" name="Activity 2" sheetId="2" r:id="R3c16ebe722bf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00000"/>
    <x:numFmt numFmtId="203" formatCode="#,##0.00;[Red](#,##0.00);&quot;-&quot;"/>
  </x:numFmts>
  <x:fonts count="8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color rgb="FF172B4D"/>
      <x:name val="Arial"/>
    </x:font>
    <x:font>
      <x:b/>
      <x:sz val="11"/>
      <x:color rgb="FF00000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FF8"/>
      </x:patternFill>
    </x:fill>
    <x:fill>
      <x:patternFill patternType="solid">
        <x:fgColor rgb="FF0F2A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1" fillId="3" borderId="0" xfId="0" applyNumberFormat="1" applyFont="1" applyFill="1" applyBorder="1"/>
    <x:xf numFmtId="203" fontId="4" fillId="3" borderId="0" xfId="0" applyNumberFormat="1" applyFont="1" applyFill="1" applyBorder="1"/>
    <x:xf numFmtId="0" fontId="5" fillId="3" borderId="0" xfId="0" applyNumberFormat="1" applyFont="1" applyFill="1" applyBorder="1"/>
    <x:xf numFmtId="203" fontId="6" fillId="3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402190b344107" /><Relationship Type="http://schemas.openxmlformats.org/officeDocument/2006/relationships/theme" Target="/xl/theme/theme1.xml" Id="Rf103f8d918da4d4c" /><Relationship Type="http://schemas.openxmlformats.org/officeDocument/2006/relationships/sharedStrings" Target="/xl/sharedStrings.xml" Id="R4146f352221940c1" /><Relationship Type="http://schemas.openxmlformats.org/officeDocument/2006/relationships/worksheet" Target="/xl/worksheets/sheet1.xml" Id="R712a54f6680c4238" /><Relationship Type="http://schemas.openxmlformats.org/officeDocument/2006/relationships/worksheet" Target="/xl/worksheets/sheet2.xml" Id="R3c16ebe722bf45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1" hidden="0" customWidth="1"/>
    <x:col min="4" max="4" width="3" hidden="0" customWidth="1"/>
    <x:col min="5" max="5" width="5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2" t="str">
        <x:v>Activity 1: future investment</x:v>
      </x:c>
      <x:c r="C2" s="1"/>
      <x:c r="D2" s="1"/>
      <x:c r="E2" s="1"/>
    </x:row>
    <x:row r="3" ht="23" customHeight="1">
      <x:c r="A3" s="1"/>
      <x:c r="B3" s="1" t="str">
        <x:v>All rates are nominal annual, compounded semiannually.</x:v>
      </x:c>
      <x:c r="C3" s="1"/>
      <x:c r="D3" s="1"/>
      <x:c r="E3" s="1"/>
    </x:row>
    <x:row r="4" ht="23" customHeight="1">
      <x:c r="A4" s="1"/>
      <x:c r="B4" s="1" t="str">
        <x:v>Enter your assigned rate in the yellow cell. Formulas are ready.</x:v>
      </x:c>
      <x:c r="C4" s="1"/>
      <x:c r="D4" s="1"/>
      <x:c r="E4" s="1"/>
    </x:row>
    <x:row r="5" ht="23" customHeight="1">
      <x:c r="A5" s="1"/>
      <x:c r="B5" s="1"/>
      <x:c r="C5" s="1"/>
      <x:c r="D5" s="1"/>
      <x:c r="E5" s="1"/>
    </x:row>
    <x:row r="6" ht="23" customHeight="1">
      <x:c r="A6" s="1"/>
      <x:c r="B6" s="19" t="str">
        <x:v>Inputs</x:v>
      </x:c>
      <x:c r="C6" s="19" t="str">
        <x:v>Value</x:v>
      </x:c>
      <x:c r="D6" s="1"/>
      <x:c r="E6" s="1"/>
    </x:row>
    <x:row r="7" ht="23" customHeight="1">
      <x:c r="A7" s="1"/>
      <x:c r="B7" s="1" t="str">
        <x:v>Principal (USD)</x:v>
      </x:c>
      <x:c r="C7" s="5" t="n">
        <x:v>1000000</x:v>
      </x:c>
      <x:c r="D7" s="1"/>
      <x:c r="E7" s="1" t="str">
        <x:v>Same principal for every student.</x:v>
      </x:c>
    </x:row>
    <x:row r="8" ht="23" customHeight="1">
      <x:c r="A8" s="1"/>
      <x:c r="B8" s="1" t="str">
        <x:v>FRA annual rate</x:v>
      </x:c>
      <x:c r="C8" s="6" t="n">
        <x:v>0.05</x:v>
      </x:c>
      <x:c r="D8" s="1"/>
      <x:c r="E8" s="1" t="str">
        <x:v>Same agreed FRA rate for every student.</x:v>
      </x:c>
    </x:row>
    <x:row r="9" ht="23" customHeight="1">
      <x:c r="A9" s="1"/>
      <x:c r="B9" s="1" t="str">
        <x:v>Start year</x:v>
      </x:c>
      <x:c r="C9" s="3" t="n">
        <x:v>1</x:v>
      </x:c>
      <x:c r="D9" s="1"/>
      <x:c r="E9" s="1" t="str">
        <x:v>Copy the dates shown in your lecture activity.</x:v>
      </x:c>
    </x:row>
    <x:row r="10" ht="23" customHeight="1">
      <x:c r="A10" s="1"/>
      <x:c r="B10" s="1" t="str">
        <x:v>End year</x:v>
      </x:c>
      <x:c r="C10" s="3" t="n">
        <x:v>3</x:v>
      </x:c>
      <x:c r="D10" s="1"/>
      <x:c r="E10" s="1" t="str">
        <x:v>Investor: years 1–3. Borrower: years 1–2.</x:v>
      </x:c>
    </x:row>
    <x:row r="11" ht="23" customHeight="1">
      <x:c r="A11" s="1"/>
      <x:c r="B11" s="1" t="str">
        <x:v>Compounding periods per year</x:v>
      </x:c>
      <x:c r="C11" s="3" t="n">
        <x:v>2</x:v>
      </x:c>
      <x:c r="D11" s="1"/>
      <x:c r="E11" s="1" t="str">
        <x:v>Two semesters per year.</x:v>
      </x:c>
    </x:row>
    <x:row r="12" ht="23" customHeight="1">
      <x:c r="A12" s="1"/>
      <x:c r="B12" s="1" t="str">
        <x:v>Your future market rate R</x:v>
      </x:c>
      <x:c r="C12" s="7"/>
      <x:c r="D12" s="1"/>
      <x:c r="E12" s="1" t="str">
        <x:v>Type your assigned rate, including %, e.g. 3.20%.</x:v>
      </x:c>
    </x:row>
    <x:row r="13" ht="23" customHeight="1">
      <x:c r="A13" s="1"/>
      <x:c r="B13" s="1"/>
      <x:c r="C13" s="1"/>
      <x:c r="D13" s="1"/>
      <x:c r="E13" s="1"/>
    </x:row>
    <x:row r="14" ht="23" customHeight="1">
      <x:c r="A14" s="1"/>
      <x:c r="B14" s="19" t="str">
        <x:v>Calculation steps</x:v>
      </x:c>
      <x:c r="C14" s="19" t="str">
        <x:v>Value</x:v>
      </x:c>
      <x:c r="D14" s="1"/>
      <x:c r="E14" s="1"/>
    </x:row>
    <x:row r="15" ht="23" customHeight="1">
      <x:c r="A15" s="1"/>
      <x:c r="B15" s="1" t="str">
        <x:v>Maturity in years</x:v>
      </x:c>
      <x:c r="C15" s="10" t="n">
        <x:f>C10-C9</x:f>
        <x:v>2</x:v>
      </x:c>
      <x:c r="D15" s="1"/>
      <x:c r="E15" s="1"/>
    </x:row>
    <x:row r="16" ht="23" customHeight="1">
      <x:c r="A16" s="1"/>
      <x:c r="B16" s="1" t="str">
        <x:v>Number of compounding periods</x:v>
      </x:c>
      <x:c r="C16" s="10" t="n">
        <x:f>C11*C15</x:f>
        <x:v>4</x:v>
      </x:c>
      <x:c r="D16" s="1"/>
      <x:c r="E16" s="1"/>
    </x:row>
    <x:row r="17" ht="23" customHeight="1">
      <x:c r="A17" s="1"/>
      <x:c r="B17" s="1" t="str">
        <x:v>Growth factor at the market rate</x:v>
      </x:c>
      <x:c r="C17" s="11" t="str">
        <x:f>IF(ISBLANK(C12),"",(1+C12/C11)^C16)</x:f>
      </x:c>
      <x:c r="D17" s="1"/>
      <x:c r="E17" s="1"/>
    </x:row>
    <x:row r="18" ht="23" customHeight="1">
      <x:c r="A18" s="1"/>
      <x:c r="B18" s="1" t="str">
        <x:v>Growth factor at the FRA rate</x:v>
      </x:c>
      <x:c r="C18" s="11" t="n">
        <x:f>(1+C8/C11)^C16</x:f>
        <x:v>1.1038128906249995</x:v>
      </x:c>
      <x:c r="D18" s="1"/>
      <x:c r="E18" s="1"/>
    </x:row>
    <x:row r="19" ht="23" customHeight="1">
      <x:c r="A19" s="1"/>
      <x:c r="B19" s="1"/>
      <x:c r="C19" s="10"/>
      <x:c r="D19" s="1"/>
      <x:c r="E19" s="1"/>
    </x:row>
    <x:row r="20" ht="23" customHeight="1">
      <x:c r="A20" s="1"/>
      <x:c r="B20" s="19" t="str">
        <x:v>Results to submit in the lecture</x:v>
      </x:c>
      <x:c r="C20" s="19" t="str">
        <x:v>USD</x:v>
      </x:c>
      <x:c r="D20" s="1"/>
      <x:c r="E20" s="1"/>
    </x:row>
    <x:row r="21" ht="23" customHeight="1">
      <x:c r="A21" s="1"/>
      <x:c r="B21" s="1" t="str">
        <x:v>1. Market interest</x:v>
      </x:c>
      <x:c r="C21" s="12" t="str">
        <x:f>IF(ISBLANK(C12),"",C7*(C17-1))</x:f>
      </x:c>
      <x:c r="D21" s="1"/>
      <x:c r="E21" s="1" t="str">
        <x:v>Interest only, excluding the principal.</x:v>
      </x:c>
    </x:row>
    <x:row r="22" ht="23" customHeight="1">
      <x:c r="A22" s="1"/>
      <x:c r="B22" s="1" t="str">
        <x:v>2. Signed FRA payoff</x:v>
      </x:c>
      <x:c r="C22" s="12" t="str">
        <x:f>IF(ISBLANK(C12),"",C7*(C18-C17))</x:f>
      </x:c>
      <x:c r="D22" s="1"/>
      <x:c r="E22" s="1" t="str">
        <x:v>Positive: receive. Negative: pay.</x:v>
      </x:c>
    </x:row>
    <x:row r="23" ht="23" customHeight="1">
      <x:c r="A23" s="1"/>
      <x:c r="B23" s="15" t="str">
        <x:v>3. Total hedged interest</x:v>
      </x:c>
      <x:c r="C23" s="16" t="str">
        <x:f>IF(ISBLANK(C12),"",SUM(C21:C22))</x:f>
      </x:c>
      <x:c r="D23" s="1"/>
      <x:c r="E23" s="1" t="str">
        <x:v>Market interest plus signed payoff.</x:v>
      </x:c>
    </x:row>
    <x:row r="24" ht="23" customHeight="1">
      <x:c r="A24" s="1"/>
      <x:c r="B24" s="1"/>
      <x:c r="C24" s="1"/>
      <x:c r="D24" s="1"/>
      <x:c r="E24" s="1"/>
    </x:row>
    <x:row r="25" ht="23" customHeight="1">
      <x:c r="A25" s="1"/>
      <x:c r="B25" s="17" t="str">
        <x:v>Why the class totals match</x:v>
      </x:c>
      <x:c r="C25" s="1"/>
      <x:c r="D25" s="1"/>
      <x:c r="E25" s="1"/>
    </x:row>
    <x:row r="26" ht="23" customHeight="1">
      <x:c r="A26" s="1"/>
      <x:c r="B26" s="1" t="str">
        <x:v>Only the future market rate differs. The FRA offsets that difference.</x:v>
      </x:c>
      <x:c r="C26" s="1"/>
      <x:c r="D26" s="1"/>
      <x:c r="E26" s="1"/>
    </x:row>
    <x:row r="27" ht="23" customHeight="1">
      <x:c r="A27" s="1"/>
      <x:c r="B27" s="1"/>
      <x:c r="C27" s="1"/>
      <x:c r="D27" s="1"/>
      <x:c r="E27" s="1"/>
    </x:row>
    <x:row r="28" ht="23" customHeight="1">
      <x:c r="A28" s="1"/>
      <x:c r="B28" s="1" t="str">
        <x:v>Submit all three amounts in the HTML lecture after it is unlocked.</x:v>
      </x:c>
      <x:c r="C28" s="1"/>
      <x:c r="D28" s="1"/>
      <x:c r="E28" s="1"/>
    </x:row>
    <x:row r="29" ht="23" customHeight="1">
      <x:c r="A29" s="1"/>
      <x:c r="B29" s="1" t="str">
        <x:v>Excel does not submit or save participation to Firebase.</x:v>
      </x:c>
      <x:c r="C29" s="1"/>
      <x:c r="D29" s="1"/>
      <x:c r="E29" s="1"/>
    </x:row>
    <x:row r="30" ht="23" customHeight="1">
      <x:c r="A30" s="1"/>
      <x:c r="B30" s="1" t="str">
        <x:v>Source: FINA405 Lec09 classroom case. All amounts are USD.</x:v>
      </x:c>
      <x:c r="C30" s="1"/>
      <x:c r="D30" s="1"/>
      <x:c r="E30" s="1"/>
    </x:row>
    <x:row r="31" ht="23" customHeight="1">
      <x:c r="A31" s="1"/>
      <x:c r="B31" s="1"/>
      <x:c r="C31" s="1"/>
      <x:c r="D31" s="1"/>
      <x:c r="E31" s="1"/>
    </x:row>
  </x:sheetData>
  <x:dataValidations count="1">
    <x:dataValidation type="decimal" operator="between" sqref="C12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21" hidden="0" customWidth="1"/>
    <x:col min="4" max="4" width="3" hidden="0" customWidth="1"/>
    <x:col min="5" max="5" width="5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1"/>
      <x:c r="B2" s="2" t="str">
        <x:v>Activity 2: future borrowing</x:v>
      </x:c>
      <x:c r="C2" s="1"/>
      <x:c r="D2" s="1"/>
      <x:c r="E2" s="1"/>
    </x:row>
    <x:row r="3" ht="23" customHeight="1">
      <x:c r="A3" s="1"/>
      <x:c r="B3" s="1" t="str">
        <x:v>All rates are nominal annual, compounded semiannually.</x:v>
      </x:c>
      <x:c r="C3" s="1"/>
      <x:c r="D3" s="1"/>
      <x:c r="E3" s="1"/>
    </x:row>
    <x:row r="4" ht="23" customHeight="1">
      <x:c r="A4" s="1"/>
      <x:c r="B4" s="1" t="str">
        <x:v>Enter your assigned rate in the yellow cell. Formulas are ready.</x:v>
      </x:c>
      <x:c r="C4" s="1"/>
      <x:c r="D4" s="1"/>
      <x:c r="E4" s="1"/>
    </x:row>
    <x:row r="5" ht="23" customHeight="1">
      <x:c r="A5" s="1"/>
      <x:c r="B5" s="1"/>
      <x:c r="C5" s="1"/>
      <x:c r="D5" s="1"/>
      <x:c r="E5" s="1"/>
    </x:row>
    <x:row r="6" ht="23" customHeight="1">
      <x:c r="A6" s="1"/>
      <x:c r="B6" s="19" t="str">
        <x:v>Inputs</x:v>
      </x:c>
      <x:c r="C6" s="19" t="str">
        <x:v>Value</x:v>
      </x:c>
      <x:c r="D6" s="1"/>
      <x:c r="E6" s="1"/>
    </x:row>
    <x:row r="7" ht="23" customHeight="1">
      <x:c r="A7" s="1"/>
      <x:c r="B7" s="1" t="str">
        <x:v>Principal (USD)</x:v>
      </x:c>
      <x:c r="C7" s="5" t="n">
        <x:v>1000000</x:v>
      </x:c>
      <x:c r="D7" s="1"/>
      <x:c r="E7" s="1" t="str">
        <x:v>Same principal for every student.</x:v>
      </x:c>
    </x:row>
    <x:row r="8" ht="23" customHeight="1">
      <x:c r="A8" s="1"/>
      <x:c r="B8" s="1" t="str">
        <x:v>FRA annual rate</x:v>
      </x:c>
      <x:c r="C8" s="6" t="n">
        <x:v>0.05</x:v>
      </x:c>
      <x:c r="D8" s="1"/>
      <x:c r="E8" s="1" t="str">
        <x:v>Same agreed FRA rate for every student.</x:v>
      </x:c>
    </x:row>
    <x:row r="9" ht="23" customHeight="1">
      <x:c r="A9" s="1"/>
      <x:c r="B9" s="1" t="str">
        <x:v>Start year</x:v>
      </x:c>
      <x:c r="C9" s="3" t="n">
        <x:v>1</x:v>
      </x:c>
      <x:c r="D9" s="1"/>
      <x:c r="E9" s="1" t="str">
        <x:v>Copy the dates shown in your lecture activity.</x:v>
      </x:c>
    </x:row>
    <x:row r="10" ht="23" customHeight="1">
      <x:c r="A10" s="1"/>
      <x:c r="B10" s="1" t="str">
        <x:v>End year</x:v>
      </x:c>
      <x:c r="C10" s="3" t="n">
        <x:v>2</x:v>
      </x:c>
      <x:c r="D10" s="1"/>
      <x:c r="E10" s="1" t="str">
        <x:v>Investor: years 1–3. Borrower: years 1–2.</x:v>
      </x:c>
    </x:row>
    <x:row r="11" ht="23" customHeight="1">
      <x:c r="A11" s="1"/>
      <x:c r="B11" s="1" t="str">
        <x:v>Compounding periods per year</x:v>
      </x:c>
      <x:c r="C11" s="3" t="n">
        <x:v>2</x:v>
      </x:c>
      <x:c r="D11" s="1"/>
      <x:c r="E11" s="1" t="str">
        <x:v>Two semesters per year.</x:v>
      </x:c>
    </x:row>
    <x:row r="12" ht="23" customHeight="1">
      <x:c r="A12" s="1"/>
      <x:c r="B12" s="1" t="str">
        <x:v>Your future market rate R</x:v>
      </x:c>
      <x:c r="C12" s="7"/>
      <x:c r="D12" s="1"/>
      <x:c r="E12" s="1" t="str">
        <x:v>Type your assigned rate, including %, e.g. 3.20%.</x:v>
      </x:c>
    </x:row>
    <x:row r="13" ht="23" customHeight="1">
      <x:c r="A13" s="1"/>
      <x:c r="B13" s="1"/>
      <x:c r="C13" s="1"/>
      <x:c r="D13" s="1"/>
      <x:c r="E13" s="1"/>
    </x:row>
    <x:row r="14" ht="23" customHeight="1">
      <x:c r="A14" s="1"/>
      <x:c r="B14" s="19" t="str">
        <x:v>Calculation steps</x:v>
      </x:c>
      <x:c r="C14" s="19" t="str">
        <x:v>Value</x:v>
      </x:c>
      <x:c r="D14" s="1"/>
      <x:c r="E14" s="1"/>
    </x:row>
    <x:row r="15" ht="23" customHeight="1">
      <x:c r="A15" s="1"/>
      <x:c r="B15" s="1" t="str">
        <x:v>Maturity in years</x:v>
      </x:c>
      <x:c r="C15" s="10" t="n">
        <x:f>C10-C9</x:f>
        <x:v>1</x:v>
      </x:c>
      <x:c r="D15" s="1"/>
      <x:c r="E15" s="1"/>
    </x:row>
    <x:row r="16" ht="23" customHeight="1">
      <x:c r="A16" s="1"/>
      <x:c r="B16" s="1" t="str">
        <x:v>Number of compounding periods</x:v>
      </x:c>
      <x:c r="C16" s="10" t="n">
        <x:f>C11*C15</x:f>
        <x:v>2</x:v>
      </x:c>
      <x:c r="D16" s="1"/>
      <x:c r="E16" s="1"/>
    </x:row>
    <x:row r="17" ht="23" customHeight="1">
      <x:c r="A17" s="1"/>
      <x:c r="B17" s="1" t="str">
        <x:v>Growth factor at the market rate</x:v>
      </x:c>
      <x:c r="C17" s="11" t="str">
        <x:f>IF(ISBLANK(C12),"",(1+C12/C11)^C16)</x:f>
      </x:c>
      <x:c r="D17" s="1"/>
      <x:c r="E17" s="1"/>
    </x:row>
    <x:row r="18" ht="23" customHeight="1">
      <x:c r="A18" s="1"/>
      <x:c r="B18" s="1" t="str">
        <x:v>Growth factor at the FRA rate</x:v>
      </x:c>
      <x:c r="C18" s="11" t="n">
        <x:f>(1+C8/C11)^C16</x:f>
        <x:v>1.050625</x:v>
      </x:c>
      <x:c r="D18" s="1"/>
      <x:c r="E18" s="1"/>
    </x:row>
    <x:row r="19" ht="23" customHeight="1">
      <x:c r="A19" s="1"/>
      <x:c r="B19" s="1"/>
      <x:c r="C19" s="10"/>
      <x:c r="D19" s="1"/>
      <x:c r="E19" s="1"/>
    </x:row>
    <x:row r="20" ht="23" customHeight="1">
      <x:c r="A20" s="1"/>
      <x:c r="B20" s="19" t="str">
        <x:v>Results to submit in the lecture</x:v>
      </x:c>
      <x:c r="C20" s="19" t="str">
        <x:v>USD</x:v>
      </x:c>
      <x:c r="D20" s="1"/>
      <x:c r="E20" s="1"/>
    </x:row>
    <x:row r="21" ht="23" customHeight="1">
      <x:c r="A21" s="1"/>
      <x:c r="B21" s="1" t="str">
        <x:v>1. Market interest</x:v>
      </x:c>
      <x:c r="C21" s="12" t="str">
        <x:f>IF(ISBLANK(C12),"",C7*(C17-1))</x:f>
      </x:c>
      <x:c r="D21" s="1"/>
      <x:c r="E21" s="1" t="str">
        <x:v>Interest only, excluding the principal.</x:v>
      </x:c>
    </x:row>
    <x:row r="22" ht="23" customHeight="1">
      <x:c r="A22" s="1"/>
      <x:c r="B22" s="1" t="str">
        <x:v>2. Signed FRA payoff</x:v>
      </x:c>
      <x:c r="C22" s="12" t="str">
        <x:f>IF(ISBLANK(C12),"",C7*(C17-C18))</x:f>
      </x:c>
      <x:c r="D22" s="1"/>
      <x:c r="E22" s="1" t="str">
        <x:v>Positive: receive. Negative: pay.</x:v>
      </x:c>
    </x:row>
    <x:row r="23" ht="23" customHeight="1">
      <x:c r="A23" s="1"/>
      <x:c r="B23" s="15" t="str">
        <x:v>3. Total hedged interest</x:v>
      </x:c>
      <x:c r="C23" s="16" t="str">
        <x:f>IF(ISBLANK(C12),"",C21-C22)</x:f>
      </x:c>
      <x:c r="D23" s="1"/>
      <x:c r="E23" s="1" t="str">
        <x:v>Market interest minus signed payoff.</x:v>
      </x:c>
    </x:row>
    <x:row r="24" ht="23" customHeight="1">
      <x:c r="A24" s="1"/>
      <x:c r="B24" s="1"/>
      <x:c r="C24" s="1"/>
      <x:c r="D24" s="1"/>
      <x:c r="E24" s="1"/>
    </x:row>
    <x:row r="25" ht="23" customHeight="1">
      <x:c r="A25" s="1"/>
      <x:c r="B25" s="17" t="str">
        <x:v>Why the class totals match</x:v>
      </x:c>
      <x:c r="C25" s="1"/>
      <x:c r="D25" s="1"/>
      <x:c r="E25" s="1"/>
    </x:row>
    <x:row r="26" ht="23" customHeight="1">
      <x:c r="A26" s="1"/>
      <x:c r="B26" s="1" t="str">
        <x:v>Only the future market rate differs. The FRA offsets that difference.</x:v>
      </x:c>
      <x:c r="C26" s="1"/>
      <x:c r="D26" s="1"/>
      <x:c r="E26" s="1"/>
    </x:row>
    <x:row r="27" ht="23" customHeight="1">
      <x:c r="A27" s="1"/>
      <x:c r="B27" s="1"/>
      <x:c r="C27" s="1"/>
      <x:c r="D27" s="1"/>
      <x:c r="E27" s="1"/>
    </x:row>
    <x:row r="28" ht="23" customHeight="1">
      <x:c r="A28" s="1"/>
      <x:c r="B28" s="1" t="str">
        <x:v>Submit all three amounts in the HTML lecture after it is unlocked.</x:v>
      </x:c>
      <x:c r="C28" s="1"/>
      <x:c r="D28" s="1"/>
      <x:c r="E28" s="1"/>
    </x:row>
    <x:row r="29" ht="23" customHeight="1">
      <x:c r="A29" s="1"/>
      <x:c r="B29" s="1" t="str">
        <x:v>Excel does not submit or save participation to Firebase.</x:v>
      </x:c>
      <x:c r="C29" s="1"/>
      <x:c r="D29" s="1"/>
      <x:c r="E29" s="1"/>
    </x:row>
    <x:row r="30" ht="23" customHeight="1">
      <x:c r="A30" s="1"/>
      <x:c r="B30" s="1" t="str">
        <x:v>Source: FINA405 Lec09 classroom case. All amounts are USD.</x:v>
      </x:c>
      <x:c r="C30" s="1"/>
      <x:c r="D30" s="1"/>
      <x:c r="E30" s="1"/>
    </x:row>
    <x:row r="31" ht="23" customHeight="1">
      <x:c r="A31" s="1"/>
      <x:c r="B31" s="1"/>
      <x:c r="C31" s="1"/>
      <x:c r="D31" s="1"/>
      <x:c r="E31" s="1"/>
    </x:row>
  </x:sheetData>
  <x:dataValidations count="1">
    <x:dataValidation type="decimal" operator="between" sqref="C12">
      <x:formula1>0</x:formula1>
      <x:formula2>1</x:formula2>
    </x:dataValidation>
  </x:dataValidations>
  <x:pageMargins left="0.7" right="0.7" top="0.75" bottom="0.75" header="0.3" footer="0.3"/>
</x:worksheet>
</file>